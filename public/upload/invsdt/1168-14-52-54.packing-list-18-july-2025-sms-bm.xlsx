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9" firstSheet="0" activeTab="0"/>
  </bookViews>
  <sheets>
    <sheet name="INVOICE" sheetId="1" state="visible" r:id="rId2"/>
    <sheet name="COVERING LETTER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Unspecified"/>
    </ext>
  </extLst>
</workbook>
</file>

<file path=xl/sharedStrings.xml><?xml version="1.0" encoding="utf-8"?>
<sst xmlns="http://schemas.openxmlformats.org/spreadsheetml/2006/main" count="186" uniqueCount="100">
  <si>
    <t>PT.MORICH INDO FASHION</t>
  </si>
  <si>
    <t>Phone</t>
  </si>
  <si>
    <t>:</t>
  </si>
  <si>
    <t>(0298) – 523523</t>
  </si>
  <si>
    <t>JL. Raya karangjati Km.25</t>
  </si>
  <si>
    <t>Fax</t>
  </si>
  <si>
    <t>(0298) – 522095</t>
  </si>
  <si>
    <t>Desa Gembongan – Bergas</t>
  </si>
  <si>
    <t>SEMARANG – INDONESIA</t>
  </si>
  <si>
    <t>COMMERCIAL INVOICE</t>
  </si>
  <si>
    <t>INVOICE</t>
  </si>
  <si>
    <t> NO./MIF/APR/2025</t>
  </si>
  <si>
    <t>DATE :</t>
  </si>
  <si>
    <t>SOLD BY ORDER &amp; FOR ACCOUNT &amp; RISK OF</t>
  </si>
  <si>
    <t>   CONTR/ORD.NO </t>
  </si>
  <si>
    <t>   DHL</t>
  </si>
  <si>
    <t>MESSRS :</t>
  </si>
  <si>
    <t>7175 Willoughby Avenue</t>
  </si>
  <si>
    <t>   SHIPPED PER</t>
  </si>
  <si>
    <t>LOS ANGELES, CALIFORNIA 90046-6711</t>
  </si>
  <si>
    <t>   FROM</t>
  </si>
  <si>
    <t>RUNGGU /QORRIZA/NUR/AZISNA</t>
  </si>
  <si>
    <t>United States of America</t>
  </si>
  <si>
    <t>   TO</t>
  </si>
  <si>
    <t>SAMANTHA/BETH</t>
  </si>
  <si>
    <t>Zip code: 90046-6711</t>
  </si>
  <si>
    <t>Gross Weight </t>
  </si>
  <si>
    <t>Phone: +1 319-213-1273</t>
  </si>
  <si>
    <t>L/C NO :</t>
  </si>
  <si>
    <t>ISSUE BY :</t>
  </si>
  <si>
    <t>S/L</t>
  </si>
  <si>
    <t>NAME OF ITEM </t>
  </si>
  <si>
    <t>STYLE</t>
  </si>
  <si>
    <t>COLOR </t>
  </si>
  <si>
    <t>CONTENT / REMARKS</t>
  </si>
  <si>
    <t>QTY</t>
  </si>
  <si>
    <t>UOM</t>
  </si>
  <si>
    <t>RATE/PCS</t>
  </si>
  <si>
    <t>TOTAL VALUE</t>
  </si>
  <si>
    <t>$</t>
  </si>
  <si>
    <t>STRIPE SEERSUCKER SWIM SHORT</t>
  </si>
  <si>
    <t> BM14145.840</t>
  </si>
  <si>
    <t>Sage Blue Sea Print</t>
  </si>
  <si>
    <t>100% PET Y/D SEERSUCKER</t>
  </si>
  <si>
    <t>PCS </t>
  </si>
  <si>
    <t>BM14145.840</t>
  </si>
  <si>
    <t>Natural/Abyss Floral Print</t>
  </si>
  <si>
    <t>LOOMED LINEN UTILITY PANT</t>
  </si>
  <si>
    <t> BM14209.327</t>
  </si>
  <si>
    <t>Navy</t>
  </si>
  <si>
    <t>100% LINEN CANVAS</t>
  </si>
  <si>
    <t>BM14209.327</t>
  </si>
  <si>
    <t>Mocha</t>
  </si>
  <si>
    <t>LOOMED LINEN UTILITY SHORT</t>
  </si>
  <si>
    <t>BM1410.327</t>
  </si>
  <si>
    <t>FELTED WOOL CHORE COAT</t>
  </si>
  <si>
    <t>BW16057.487</t>
  </si>
  <si>
    <t>Coastal Bluff</t>
  </si>
  <si>
    <t>100% MERINO WOOL</t>
  </si>
  <si>
    <t>FELTED WOOL MECHANICS JACKET</t>
  </si>
  <si>
    <t>BW17225.487</t>
  </si>
  <si>
    <t>LINEN FIELD JACKET/FATIGUE SHIRT</t>
  </si>
  <si>
    <t>BM13436.327</t>
  </si>
  <si>
    <t>LINEN</t>
  </si>
  <si>
    <t>C/O FELTED WOOL CHORE COAT</t>
  </si>
  <si>
    <t> BM16003.403</t>
  </si>
  <si>
    <t>Heather Camel</t>
  </si>
  <si>
    <t>BM16003.487</t>
  </si>
  <si>
    <t>FATIGUE MARL</t>
  </si>
  <si>
    <t>FLIGHT SATIN BOMBER JACKET W/ SLEEVE POCKET</t>
  </si>
  <si>
    <t>BM17297.992</t>
  </si>
  <si>
    <t>100% NYLON</t>
  </si>
  <si>
    <t>SAMPLES OF NO COMMERCIAL VALUE</t>
  </si>
  <si>
    <t>TOTAL</t>
  </si>
  <si>
    <t>USD</t>
  </si>
  <si>
    <t>Say : United states dollars </t>
  </si>
  <si>
    <t>T/D</t>
  </si>
  <si>
    <t>Authorized signature</t>
  </si>
  <si>
    <t> </t>
  </si>
  <si>
    <t>COVERING LETTER</t>
  </si>
  <si>
    <t>RUNGGU/NUR </t>
  </si>
  <si>
    <t>SAMANTHA/BETH </t>
  </si>
  <si>
    <t>COL</t>
  </si>
  <si>
    <t>CONTENT</t>
  </si>
  <si>
    <t>PRICE</t>
  </si>
  <si>
    <t>BW17225.603</t>
  </si>
  <si>
    <t>NAVY </t>
  </si>
  <si>
    <t>JACKET 100% MERINO WOOL</t>
  </si>
  <si>
    <t>PCS</t>
  </si>
  <si>
    <t>FELTED SHAWL JACKET</t>
  </si>
  <si>
    <t>BM17232</t>
  </si>
  <si>
    <t>W MARLED BROWN 2 </t>
  </si>
  <si>
    <t>MARLED DEEP CHARCOAL </t>
  </si>
  <si>
    <t>BUTTON </t>
  </si>
  <si>
    <t>BM16003</t>
  </si>
  <si>
    <t>COR – ZL </t>
  </si>
  <si>
    <t>COR-950-XX</t>
  </si>
  <si>
    <t>BW16057</t>
  </si>
  <si>
    <t>DK BROWN </t>
  </si>
  <si>
    <t>COR-1386-XX
SEMI-POLISH FINISH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</si>
</sst>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M\ D&quot;, &quot;YYYY"/>
    <numFmt numFmtId="166" formatCode="0.00"/>
  </numFmts>
  <fonts count="2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sz val="12"/>
      <name val="Calibri"/>
      <family val="2"/>
      <charset val="1"/>
    </font>
    <font>
      <b val="true"/>
      <sz val="12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2"/>
      <color rgb="FF000000"/>
      <name val="Trebuchet MS"/>
      <family val="2"/>
      <charset val="1"/>
    </font>
    <font>
      <sz val="13"/>
      <name val="Droid Sans"/>
      <family val="2"/>
      <charset val="1"/>
    </font>
    <font>
      <sz val="11"/>
      <name val="Droid Sans"/>
      <family val="2"/>
      <charset val="1"/>
    </font>
    <font>
      <sz val="11"/>
      <color rgb="FF000000"/>
      <name val="Droid Sans"/>
      <family val="2"/>
      <charset val="1"/>
    </font>
    <font>
      <sz val="11"/>
      <color rgb="FF000000"/>
      <name val="Arial"/>
      <family val="2"/>
      <charset val="1"/>
    </font>
    <font>
      <sz val="10"/>
      <color rgb="FF000000"/>
      <name val="Tahoma"/>
      <family val="2"/>
      <charset val="1"/>
    </font>
    <font>
      <sz val="10"/>
      <name val="Times New Roman"/>
      <family val="1"/>
      <charset val="1"/>
    </font>
    <font>
      <b val="true"/>
      <sz val="12"/>
      <color rgb="FF0000CC"/>
      <name val="Calibri"/>
      <family val="2"/>
      <charset val="1"/>
    </font>
    <font>
      <b val="true"/>
      <u val="single"/>
      <sz val="12"/>
      <name val="Calibri"/>
      <family val="2"/>
      <charset val="1"/>
    </font>
    <font>
      <b val="true"/>
      <i val="true"/>
      <sz val="12"/>
      <color rgb="FF0000CC"/>
      <name val="Calibri"/>
      <family val="2"/>
      <charset val="1"/>
    </font>
    <font>
      <i val="true"/>
      <sz val="12"/>
      <name val="Calibri"/>
      <family val="2"/>
      <charset val="1"/>
    </font>
    <font>
      <sz val="13"/>
      <name val="Arial"/>
      <family val="2"/>
      <charset val="1"/>
    </font>
    <font>
      <b val="true"/>
      <sz val="13"/>
      <name val="Droid Sans"/>
      <family val="2"/>
      <charset val="1"/>
    </font>
    <font>
      <b val="true"/>
      <sz val="13"/>
      <color rgb="FF000000"/>
      <name val="Arial"/>
      <family val="2"/>
      <charset val="1"/>
    </font>
    <font>
      <sz val="13"/>
      <color rgb="FF000000"/>
      <name val="Droid Sans"/>
      <family val="2"/>
      <charset val="1"/>
    </font>
    <font>
      <sz val="13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8">
    <border diagonalUp="false" diagonalDown="false">
      <left/>
      <right/>
      <top/>
      <bottom/>
      <diagonal/>
    </border>
    <border diagonalUp="false" diagonalDown="false">
      <left/>
      <right/>
      <top/>
      <bottom style="hair"/>
      <diagonal/>
    </border>
    <border diagonalUp="false" diagonalDown="false">
      <left/>
      <right/>
      <top style="double"/>
      <bottom/>
      <diagonal/>
    </border>
    <border diagonalUp="false" diagonalDown="false">
      <left style="hair"/>
      <right/>
      <top style="double"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hair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/>
      <top style="double"/>
      <bottom style="hair"/>
      <diagonal/>
    </border>
    <border diagonalUp="false" diagonalDown="false">
      <left style="hair"/>
      <right style="hair"/>
      <top style="double"/>
      <bottom style="hair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/>
      <right/>
      <top style="hair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W55"/>
  <sheetViews>
    <sheetView windowProtection="false" showFormulas="false" showGridLines="true" showRowColHeaders="true" showZeros="true" rightToLeft="false" tabSelected="true" showOutlineSymbols="true" defaultGridColor="true" view="normal" topLeftCell="A7" colorId="64" zoomScale="60" zoomScaleNormal="60" zoomScalePageLayoutView="100" workbookViewId="0">
      <selection pane="topLeft" activeCell="J16" activeCellId="0" sqref="J16"/>
    </sheetView>
  </sheetViews>
  <sheetFormatPr defaultRowHeight="12.75"/>
  <cols>
    <col collapsed="false" hidden="false" max="1" min="1" style="1" width="12.2857142857143"/>
    <col collapsed="false" hidden="false" max="2" min="2" style="1" width="49.8112244897959"/>
    <col collapsed="false" hidden="false" max="3" min="3" style="2" width="19.0357142857143"/>
    <col collapsed="false" hidden="false" max="4" min="4" style="2" width="27.8061224489796"/>
    <col collapsed="false" hidden="false" max="5" min="5" style="2" width="39.9591836734694"/>
    <col collapsed="false" hidden="false" max="6" min="6" style="1" width="13.7704081632653"/>
    <col collapsed="false" hidden="false" max="7" min="7" style="1" width="19.3061224489796"/>
    <col collapsed="false" hidden="false" max="8" min="8" style="1" width="13.0918367346939"/>
    <col collapsed="false" hidden="false" max="9" min="9" style="1" width="4.72448979591837"/>
    <col collapsed="false" hidden="false" max="10" min="10" style="1" width="33.2091836734694"/>
    <col collapsed="false" hidden="false" max="257" min="11" style="1" width="10.6632653061225"/>
    <col collapsed="false" hidden="false" max="1025" min="258" style="0" width="8.36734693877551"/>
  </cols>
  <sheetData>
    <row r="1" customFormat="false" ht="12.8" hidden="false" customHeight="true" outlineLevel="0" collapsed="false">
      <c r="A1" s="0"/>
      <c r="B1" s="0"/>
      <c r="C1" s="0"/>
      <c r="D1" s="0"/>
      <c r="E1" s="0"/>
      <c r="F1" s="0"/>
      <c r="G1" s="0"/>
      <c r="H1" s="0"/>
      <c r="I1" s="0"/>
      <c r="J1" s="3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</row>
    <row r="2" customFormat="false" ht="12.75" hidden="false" customHeight="false" outlineLevel="0" collapsed="false">
      <c r="A2" s="0"/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</row>
    <row r="3" customFormat="false" ht="20.85" hidden="false" customHeight="true" outlineLevel="0" collapsed="false">
      <c r="A3" s="4" t="s">
        <v>0</v>
      </c>
      <c r="B3" s="0"/>
      <c r="C3" s="0"/>
      <c r="D3" s="0"/>
      <c r="E3" s="0"/>
      <c r="F3" s="0"/>
      <c r="G3" s="0"/>
      <c r="H3" s="5" t="s">
        <v>1</v>
      </c>
      <c r="I3" s="6" t="s">
        <v>2</v>
      </c>
      <c r="J3" s="5" t="s">
        <v>3</v>
      </c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</row>
    <row r="4" customFormat="false" ht="20.85" hidden="false" customHeight="true" outlineLevel="0" collapsed="false">
      <c r="A4" s="5" t="s">
        <v>4</v>
      </c>
      <c r="B4" s="0"/>
      <c r="C4" s="0"/>
      <c r="D4" s="0"/>
      <c r="E4" s="7"/>
      <c r="F4" s="0"/>
      <c r="G4" s="0"/>
      <c r="H4" s="5" t="s">
        <v>5</v>
      </c>
      <c r="I4" s="6" t="s">
        <v>2</v>
      </c>
      <c r="J4" s="5" t="s">
        <v>6</v>
      </c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</row>
    <row r="5" customFormat="false" ht="20.85" hidden="false" customHeight="true" outlineLevel="0" collapsed="false">
      <c r="A5" s="5" t="s">
        <v>7</v>
      </c>
      <c r="B5" s="0"/>
      <c r="C5" s="0"/>
      <c r="D5" s="0"/>
      <c r="E5" s="0"/>
      <c r="F5" s="0"/>
      <c r="G5" s="0"/>
      <c r="H5" s="0"/>
      <c r="I5" s="6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</row>
    <row r="6" customFormat="false" ht="20.85" hidden="false" customHeight="true" outlineLevel="0" collapsed="false">
      <c r="A6" s="5" t="s">
        <v>8</v>
      </c>
      <c r="B6" s="0"/>
      <c r="C6" s="0"/>
      <c r="D6" s="0"/>
      <c r="E6" s="0"/>
      <c r="F6" s="0"/>
      <c r="G6" s="0"/>
      <c r="H6" s="0"/>
      <c r="I6" s="6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</row>
    <row r="7" customFormat="false" ht="18.2" hidden="false" customHeight="true" outlineLevel="0" collapsed="false">
      <c r="A7" s="0"/>
      <c r="B7" s="0"/>
      <c r="C7" s="0"/>
      <c r="D7" s="0"/>
      <c r="E7" s="0"/>
      <c r="F7" s="0"/>
      <c r="G7" s="0"/>
      <c r="H7" s="0"/>
      <c r="I7" s="6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</row>
    <row r="8" customFormat="false" ht="18.2" hidden="false" customHeight="true" outlineLevel="0" collapsed="false">
      <c r="A8" s="0"/>
      <c r="B8" s="0"/>
      <c r="C8" s="0"/>
      <c r="D8" s="0"/>
      <c r="E8" s="8" t="s">
        <v>9</v>
      </c>
      <c r="F8" s="8" t="s">
        <v>10</v>
      </c>
      <c r="G8" s="8" t="s">
        <v>10</v>
      </c>
      <c r="H8" s="8"/>
      <c r="I8" s="8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</row>
    <row r="9" customFormat="false" ht="18.2" hidden="false" customHeight="true" outlineLevel="0" collapsed="false">
      <c r="A9" s="0"/>
      <c r="B9" s="9"/>
      <c r="C9" s="0"/>
      <c r="D9" s="0"/>
      <c r="E9" s="10" t="s">
        <v>11</v>
      </c>
      <c r="F9" s="11" t="s">
        <v>12</v>
      </c>
      <c r="G9" s="12" t="n">
        <v>45856</v>
      </c>
      <c r="H9" s="12"/>
      <c r="I9" s="6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</row>
    <row r="10" customFormat="false" ht="18.2" hidden="false" customHeight="true" outlineLevel="0" collapsed="false">
      <c r="A10" s="0"/>
      <c r="B10" s="0"/>
      <c r="C10" s="0"/>
      <c r="D10" s="0"/>
      <c r="E10" s="0"/>
      <c r="F10" s="0"/>
      <c r="G10" s="0"/>
      <c r="H10" s="0"/>
      <c r="I10" s="6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</row>
    <row r="11" customFormat="false" ht="18.2" hidden="false" customHeight="true" outlineLevel="0" collapsed="false">
      <c r="A11" s="13"/>
      <c r="B11" s="13"/>
      <c r="C11" s="14"/>
      <c r="D11" s="14"/>
      <c r="E11" s="14"/>
      <c r="F11" s="13"/>
      <c r="G11" s="15"/>
      <c r="H11" s="13"/>
      <c r="I11" s="14"/>
      <c r="J11" s="13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</row>
    <row r="12" customFormat="false" ht="18.2" hidden="false" customHeight="true" outlineLevel="0" collapsed="false">
      <c r="A12" s="5" t="s">
        <v>13</v>
      </c>
      <c r="B12" s="0"/>
      <c r="C12" s="0"/>
      <c r="D12" s="0"/>
      <c r="E12" s="0"/>
      <c r="F12" s="0"/>
      <c r="G12" s="16" t="s">
        <v>14</v>
      </c>
      <c r="H12" s="16"/>
      <c r="I12" s="17" t="s">
        <v>2</v>
      </c>
      <c r="J12" s="18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</row>
    <row r="13" customFormat="false" ht="18.2" hidden="false" customHeight="true" outlineLevel="0" collapsed="false">
      <c r="A13" s="0"/>
      <c r="B13" s="0"/>
      <c r="C13" s="0"/>
      <c r="D13" s="0"/>
      <c r="E13" s="0"/>
      <c r="F13" s="0"/>
      <c r="G13" s="19" t="s">
        <v>15</v>
      </c>
      <c r="H13" s="16"/>
      <c r="I13" s="17" t="s">
        <v>2</v>
      </c>
      <c r="J13" s="20"/>
      <c r="K13" s="0"/>
      <c r="L13" s="21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</row>
    <row r="14" customFormat="false" ht="18.2" hidden="false" customHeight="true" outlineLevel="0" collapsed="false">
      <c r="A14" s="5" t="s">
        <v>16</v>
      </c>
      <c r="B14" s="22" t="s">
        <v>17</v>
      </c>
      <c r="C14" s="23"/>
      <c r="D14" s="23"/>
      <c r="E14" s="6"/>
      <c r="F14" s="0"/>
      <c r="G14" s="16" t="s">
        <v>18</v>
      </c>
      <c r="H14" s="16"/>
      <c r="I14" s="17" t="s">
        <v>2</v>
      </c>
      <c r="J14" s="18" t="s">
        <v>0</v>
      </c>
      <c r="K14" s="0"/>
      <c r="L14" s="21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</row>
    <row r="15" customFormat="false" ht="18.2" hidden="false" customHeight="true" outlineLevel="0" collapsed="false">
      <c r="A15" s="0"/>
      <c r="B15" s="22" t="s">
        <v>19</v>
      </c>
      <c r="C15" s="23"/>
      <c r="D15" s="23"/>
      <c r="E15" s="6"/>
      <c r="F15" s="0"/>
      <c r="G15" s="16" t="s">
        <v>20</v>
      </c>
      <c r="H15" s="16"/>
      <c r="I15" s="17" t="s">
        <v>2</v>
      </c>
      <c r="J15" s="24" t="s">
        <v>21</v>
      </c>
      <c r="K15" s="0"/>
      <c r="L15" s="21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</row>
    <row r="16" customFormat="false" ht="20.85" hidden="false" customHeight="true" outlineLevel="0" collapsed="false">
      <c r="A16" s="25"/>
      <c r="B16" s="22" t="s">
        <v>22</v>
      </c>
      <c r="C16" s="23"/>
      <c r="D16" s="23"/>
      <c r="E16" s="6"/>
      <c r="F16" s="25"/>
      <c r="G16" s="16" t="s">
        <v>23</v>
      </c>
      <c r="H16" s="16"/>
      <c r="I16" s="17" t="s">
        <v>2</v>
      </c>
      <c r="J16" s="24" t="s">
        <v>24</v>
      </c>
      <c r="K16" s="0"/>
      <c r="L16" s="21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</row>
    <row r="17" customFormat="false" ht="18.2" hidden="false" customHeight="true" outlineLevel="0" collapsed="false">
      <c r="A17" s="25"/>
      <c r="B17" s="22" t="s">
        <v>25</v>
      </c>
      <c r="C17" s="23"/>
      <c r="D17" s="23"/>
      <c r="E17" s="6"/>
      <c r="F17" s="25"/>
      <c r="G17" s="19" t="s">
        <v>26</v>
      </c>
      <c r="H17" s="16"/>
      <c r="I17" s="17" t="s">
        <v>2</v>
      </c>
      <c r="J17" s="18"/>
      <c r="K17" s="0"/>
      <c r="L17" s="21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</row>
    <row r="18" customFormat="false" ht="18.2" hidden="false" customHeight="true" outlineLevel="0" collapsed="false">
      <c r="A18" s="25"/>
      <c r="B18" s="22" t="s">
        <v>27</v>
      </c>
      <c r="C18" s="23"/>
      <c r="D18" s="23"/>
      <c r="E18" s="6"/>
      <c r="F18" s="25"/>
      <c r="G18" s="19"/>
      <c r="H18" s="16"/>
      <c r="I18" s="17"/>
      <c r="J18" s="18"/>
      <c r="K18" s="0"/>
      <c r="L18" s="21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</row>
    <row r="19" customFormat="false" ht="18.2" hidden="false" customHeight="true" outlineLevel="0" collapsed="false">
      <c r="A19" s="25"/>
      <c r="B19" s="26"/>
      <c r="C19" s="23"/>
      <c r="D19" s="23"/>
      <c r="E19" s="6"/>
      <c r="F19" s="25"/>
      <c r="G19" s="25"/>
      <c r="H19" s="25"/>
      <c r="I19" s="27"/>
      <c r="J19" s="28"/>
      <c r="K19" s="0"/>
      <c r="L19" s="26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</row>
    <row r="20" customFormat="false" ht="18.2" hidden="false" customHeight="true" outlineLevel="0" collapsed="false">
      <c r="A20" s="29"/>
      <c r="B20" s="26"/>
      <c r="C20" s="23"/>
      <c r="D20" s="23"/>
      <c r="E20" s="0"/>
      <c r="F20" s="29"/>
      <c r="G20" s="25"/>
      <c r="H20" s="25"/>
      <c r="I20" s="27"/>
      <c r="J20" s="28"/>
      <c r="K20" s="0"/>
      <c r="L20" s="26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</row>
    <row r="21" customFormat="false" ht="18.2" hidden="false" customHeight="true" outlineLevel="0" collapsed="false">
      <c r="A21" s="30" t="s">
        <v>28</v>
      </c>
      <c r="B21" s="31"/>
      <c r="C21" s="31"/>
      <c r="D21" s="31"/>
      <c r="E21" s="31"/>
      <c r="F21" s="31" t="s">
        <v>29</v>
      </c>
      <c r="G21" s="31"/>
      <c r="H21" s="31"/>
      <c r="I21" s="32"/>
      <c r="J21" s="32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</row>
    <row r="22" customFormat="false" ht="18.2" hidden="false" customHeight="true" outlineLevel="0" collapsed="false">
      <c r="A22" s="33" t="s">
        <v>30</v>
      </c>
      <c r="B22" s="33" t="s">
        <v>31</v>
      </c>
      <c r="C22" s="33" t="s">
        <v>32</v>
      </c>
      <c r="D22" s="33" t="s">
        <v>33</v>
      </c>
      <c r="E22" s="34" t="s">
        <v>34</v>
      </c>
      <c r="F22" s="34" t="s">
        <v>35</v>
      </c>
      <c r="G22" s="34" t="s">
        <v>36</v>
      </c>
      <c r="H22" s="34" t="s">
        <v>37</v>
      </c>
      <c r="I22" s="34"/>
      <c r="J22" s="34" t="s">
        <v>38</v>
      </c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</row>
    <row r="23" customFormat="false" ht="18.2" hidden="false" customHeight="true" outlineLevel="0" collapsed="false">
      <c r="A23" s="35"/>
      <c r="B23" s="36"/>
      <c r="C23" s="37"/>
      <c r="D23" s="37"/>
      <c r="E23" s="38"/>
      <c r="F23" s="0"/>
      <c r="G23" s="35"/>
      <c r="H23" s="39" t="s">
        <v>39</v>
      </c>
      <c r="I23" s="38"/>
      <c r="J23" s="40" t="s">
        <v>39</v>
      </c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</row>
    <row r="24" s="16" customFormat="true" ht="18.2" hidden="false" customHeight="true" outlineLevel="0" collapsed="false">
      <c r="C24" s="17"/>
      <c r="D24" s="17"/>
      <c r="E24" s="17"/>
      <c r="H24" s="17"/>
      <c r="I24" s="17"/>
      <c r="J24" s="41"/>
    </row>
    <row r="25" s="49" customFormat="true" ht="29.85" hidden="false" customHeight="true" outlineLevel="0" collapsed="false">
      <c r="A25" s="42"/>
      <c r="B25" s="43" t="s">
        <v>40</v>
      </c>
      <c r="C25" s="44" t="s">
        <v>41</v>
      </c>
      <c r="D25" s="45" t="s">
        <v>42</v>
      </c>
      <c r="E25" s="46" t="s">
        <v>43</v>
      </c>
      <c r="F25" s="42" t="n">
        <v>2</v>
      </c>
      <c r="G25" s="42" t="s">
        <v>44</v>
      </c>
      <c r="H25" s="47" t="n">
        <v>0.01</v>
      </c>
      <c r="I25" s="48"/>
      <c r="J25" s="42" t="n">
        <f aca="false">SUM(F25*H25)</f>
        <v>0.02</v>
      </c>
    </row>
    <row r="26" customFormat="false" ht="29.85" hidden="false" customHeight="true" outlineLevel="0" collapsed="false">
      <c r="A26" s="42"/>
      <c r="B26" s="43" t="s">
        <v>40</v>
      </c>
      <c r="C26" s="44" t="s">
        <v>45</v>
      </c>
      <c r="D26" s="45" t="s">
        <v>46</v>
      </c>
      <c r="E26" s="46" t="s">
        <v>43</v>
      </c>
      <c r="F26" s="42" t="n">
        <v>2</v>
      </c>
      <c r="G26" s="42" t="s">
        <v>44</v>
      </c>
      <c r="H26" s="47" t="n">
        <v>0.01</v>
      </c>
      <c r="I26" s="48"/>
      <c r="J26" s="42" t="n">
        <f aca="false">SUM(F26*H26)</f>
        <v>0.02</v>
      </c>
    </row>
    <row r="27" customFormat="false" ht="29.85" hidden="false" customHeight="true" outlineLevel="0" collapsed="false">
      <c r="A27" s="42"/>
      <c r="B27" s="43" t="s">
        <v>47</v>
      </c>
      <c r="C27" s="44" t="s">
        <v>48</v>
      </c>
      <c r="D27" s="45" t="s">
        <v>49</v>
      </c>
      <c r="E27" s="46" t="s">
        <v>50</v>
      </c>
      <c r="F27" s="42" t="n">
        <v>2</v>
      </c>
      <c r="G27" s="42" t="s">
        <v>44</v>
      </c>
      <c r="H27" s="47" t="n">
        <v>0.01</v>
      </c>
      <c r="I27" s="48"/>
      <c r="J27" s="42" t="n">
        <f aca="false">SUM(F27*H27)</f>
        <v>0.02</v>
      </c>
    </row>
    <row r="28" customFormat="false" ht="29.85" hidden="false" customHeight="true" outlineLevel="0" collapsed="false">
      <c r="A28" s="42"/>
      <c r="B28" s="43" t="s">
        <v>47</v>
      </c>
      <c r="C28" s="44" t="s">
        <v>51</v>
      </c>
      <c r="D28" s="50" t="s">
        <v>52</v>
      </c>
      <c r="E28" s="46" t="s">
        <v>50</v>
      </c>
      <c r="F28" s="42" t="n">
        <v>2</v>
      </c>
      <c r="G28" s="42" t="s">
        <v>44</v>
      </c>
      <c r="H28" s="47" t="n">
        <v>0.01</v>
      </c>
      <c r="I28" s="48"/>
      <c r="J28" s="42" t="n">
        <f aca="false">SUM(F28*H28)</f>
        <v>0.02</v>
      </c>
    </row>
    <row r="29" customFormat="false" ht="29.85" hidden="false" customHeight="true" outlineLevel="0" collapsed="false">
      <c r="A29" s="42"/>
      <c r="B29" s="43" t="s">
        <v>53</v>
      </c>
      <c r="C29" s="44" t="s">
        <v>54</v>
      </c>
      <c r="D29" s="45" t="s">
        <v>49</v>
      </c>
      <c r="E29" s="46" t="s">
        <v>50</v>
      </c>
      <c r="F29" s="42" t="n">
        <v>2</v>
      </c>
      <c r="G29" s="42" t="s">
        <v>44</v>
      </c>
      <c r="H29" s="47" t="n">
        <v>0.01</v>
      </c>
      <c r="I29" s="48"/>
      <c r="J29" s="42" t="n">
        <f aca="false">SUM(F29*H29)</f>
        <v>0.02</v>
      </c>
    </row>
    <row r="30" customFormat="false" ht="29.85" hidden="false" customHeight="true" outlineLevel="0" collapsed="false">
      <c r="A30" s="42"/>
      <c r="B30" s="43" t="s">
        <v>53</v>
      </c>
      <c r="C30" s="44" t="s">
        <v>54</v>
      </c>
      <c r="D30" s="50" t="s">
        <v>52</v>
      </c>
      <c r="E30" s="46" t="s">
        <v>50</v>
      </c>
      <c r="F30" s="42" t="n">
        <v>2</v>
      </c>
      <c r="G30" s="42" t="s">
        <v>44</v>
      </c>
      <c r="H30" s="47" t="n">
        <v>0.01</v>
      </c>
      <c r="I30" s="48"/>
      <c r="J30" s="42" t="n">
        <f aca="false">SUM(F30*H30)</f>
        <v>0.02</v>
      </c>
    </row>
    <row r="31" customFormat="false" ht="29.85" hidden="false" customHeight="true" outlineLevel="0" collapsed="false">
      <c r="A31" s="42"/>
      <c r="B31" s="43" t="s">
        <v>55</v>
      </c>
      <c r="C31" s="44" t="s">
        <v>56</v>
      </c>
      <c r="D31" s="50" t="s">
        <v>57</v>
      </c>
      <c r="E31" s="46" t="s">
        <v>58</v>
      </c>
      <c r="F31" s="42" t="n">
        <v>2</v>
      </c>
      <c r="G31" s="42" t="s">
        <v>44</v>
      </c>
      <c r="H31" s="47" t="n">
        <v>0.01</v>
      </c>
      <c r="I31" s="48"/>
      <c r="J31" s="42" t="n">
        <f aca="false">SUM(F31*H31)</f>
        <v>0.02</v>
      </c>
    </row>
    <row r="32" customFormat="false" ht="29.85" hidden="false" customHeight="true" outlineLevel="0" collapsed="false">
      <c r="A32" s="42"/>
      <c r="B32" s="43" t="s">
        <v>59</v>
      </c>
      <c r="C32" s="44" t="s">
        <v>60</v>
      </c>
      <c r="D32" s="50" t="s">
        <v>57</v>
      </c>
      <c r="E32" s="46" t="s">
        <v>58</v>
      </c>
      <c r="F32" s="42" t="n">
        <v>2</v>
      </c>
      <c r="G32" s="42" t="s">
        <v>44</v>
      </c>
      <c r="H32" s="47" t="n">
        <v>0.01</v>
      </c>
      <c r="I32" s="48"/>
      <c r="J32" s="42" t="n">
        <f aca="false">SUM(F32*H32)</f>
        <v>0.02</v>
      </c>
    </row>
    <row r="33" customFormat="false" ht="29.85" hidden="false" customHeight="true" outlineLevel="0" collapsed="false">
      <c r="A33" s="42"/>
      <c r="B33" s="43" t="s">
        <v>61</v>
      </c>
      <c r="C33" s="44" t="s">
        <v>62</v>
      </c>
      <c r="D33" s="50" t="s">
        <v>52</v>
      </c>
      <c r="E33" s="46" t="s">
        <v>63</v>
      </c>
      <c r="F33" s="42" t="n">
        <v>2</v>
      </c>
      <c r="G33" s="42" t="s">
        <v>44</v>
      </c>
      <c r="H33" s="47" t="n">
        <v>0.01</v>
      </c>
      <c r="I33" s="48"/>
      <c r="J33" s="42" t="n">
        <f aca="false">SUM(F33*H33)</f>
        <v>0.02</v>
      </c>
    </row>
    <row r="34" customFormat="false" ht="29.85" hidden="false" customHeight="true" outlineLevel="0" collapsed="false">
      <c r="A34" s="42"/>
      <c r="B34" s="43" t="s">
        <v>64</v>
      </c>
      <c r="C34" s="44" t="s">
        <v>65</v>
      </c>
      <c r="D34" s="45" t="s">
        <v>66</v>
      </c>
      <c r="E34" s="46" t="s">
        <v>58</v>
      </c>
      <c r="F34" s="42" t="n">
        <v>2</v>
      </c>
      <c r="G34" s="42" t="s">
        <v>44</v>
      </c>
      <c r="H34" s="47" t="n">
        <v>0.01</v>
      </c>
      <c r="I34" s="48"/>
      <c r="J34" s="42" t="n">
        <f aca="false">SUM(F34*H34)</f>
        <v>0.02</v>
      </c>
    </row>
    <row r="35" customFormat="false" ht="29.85" hidden="false" customHeight="true" outlineLevel="0" collapsed="false">
      <c r="A35" s="42"/>
      <c r="B35" s="43" t="s">
        <v>64</v>
      </c>
      <c r="C35" s="44" t="s">
        <v>67</v>
      </c>
      <c r="D35" s="45" t="s">
        <v>68</v>
      </c>
      <c r="E35" s="46" t="s">
        <v>58</v>
      </c>
      <c r="F35" s="42" t="n">
        <v>2</v>
      </c>
      <c r="G35" s="42" t="s">
        <v>44</v>
      </c>
      <c r="H35" s="47" t="n">
        <v>0.01</v>
      </c>
      <c r="I35" s="48"/>
      <c r="J35" s="42" t="n">
        <f aca="false">SUM(F35*H35)</f>
        <v>0.02</v>
      </c>
    </row>
    <row r="36" customFormat="false" ht="29.85" hidden="false" customHeight="true" outlineLevel="0" collapsed="false">
      <c r="A36" s="42"/>
      <c r="B36" s="43" t="s">
        <v>69</v>
      </c>
      <c r="C36" s="44" t="s">
        <v>70</v>
      </c>
      <c r="D36" s="45" t="s">
        <v>49</v>
      </c>
      <c r="E36" s="46" t="s">
        <v>71</v>
      </c>
      <c r="F36" s="42" t="n">
        <v>2</v>
      </c>
      <c r="G36" s="42" t="s">
        <v>44</v>
      </c>
      <c r="H36" s="47" t="n">
        <v>0.01</v>
      </c>
      <c r="I36" s="48"/>
      <c r="J36" s="42" t="n">
        <f aca="false">SUM(F36*H36)</f>
        <v>0.02</v>
      </c>
    </row>
    <row r="37" customFormat="false" ht="29.85" hidden="false" customHeight="true" outlineLevel="0" collapsed="false">
      <c r="A37" s="42"/>
      <c r="B37" s="43"/>
      <c r="C37" s="51"/>
      <c r="D37" s="51"/>
      <c r="E37" s="46"/>
      <c r="F37" s="42"/>
      <c r="G37" s="42"/>
      <c r="H37" s="47"/>
      <c r="I37" s="48"/>
      <c r="J37" s="42"/>
    </row>
    <row r="38" customFormat="false" ht="29.85" hidden="false" customHeight="true" outlineLevel="0" collapsed="false">
      <c r="A38" s="42"/>
      <c r="B38" s="52"/>
      <c r="C38" s="53"/>
      <c r="D38" s="53"/>
      <c r="E38" s="46"/>
      <c r="F38" s="42"/>
      <c r="G38" s="42"/>
      <c r="H38" s="47"/>
      <c r="I38" s="48"/>
      <c r="J38" s="42"/>
    </row>
    <row r="39" customFormat="false" ht="29.85" hidden="false" customHeight="true" outlineLevel="0" collapsed="false">
      <c r="A39" s="42"/>
      <c r="B39" s="52"/>
      <c r="C39" s="53"/>
      <c r="D39" s="53"/>
      <c r="E39" s="46"/>
      <c r="F39" s="42"/>
      <c r="G39" s="42"/>
      <c r="H39" s="47"/>
      <c r="I39" s="48"/>
      <c r="J39" s="42"/>
    </row>
    <row r="40" customFormat="false" ht="29.85" hidden="false" customHeight="true" outlineLevel="0" collapsed="false">
      <c r="A40" s="42"/>
      <c r="B40" s="52"/>
      <c r="C40" s="53"/>
      <c r="D40" s="53"/>
      <c r="E40" s="46"/>
      <c r="F40" s="42"/>
      <c r="G40" s="42"/>
      <c r="H40" s="47"/>
      <c r="I40" s="48"/>
      <c r="J40" s="42"/>
    </row>
    <row r="41" customFormat="false" ht="18.2" hidden="false" customHeight="true" outlineLevel="0" collapsed="false">
      <c r="A41" s="54"/>
      <c r="B41" s="55" t="s">
        <v>72</v>
      </c>
      <c r="C41" s="56"/>
      <c r="D41" s="56"/>
      <c r="E41" s="56"/>
      <c r="F41" s="0"/>
      <c r="G41" s="54"/>
      <c r="H41" s="57"/>
      <c r="I41" s="58"/>
      <c r="J41" s="40"/>
    </row>
    <row r="42" customFormat="false" ht="18.2" hidden="false" customHeight="true" outlineLevel="0" collapsed="false">
      <c r="A42" s="54"/>
      <c r="B42" s="36"/>
      <c r="C42" s="37"/>
      <c r="D42" s="37"/>
      <c r="E42" s="39"/>
      <c r="F42" s="0"/>
      <c r="G42" s="54"/>
      <c r="H42" s="57"/>
      <c r="I42" s="58"/>
      <c r="J42" s="40"/>
    </row>
    <row r="43" customFormat="false" ht="18.2" hidden="false" customHeight="true" outlineLevel="0" collapsed="false">
      <c r="A43" s="54"/>
      <c r="B43" s="36"/>
      <c r="C43" s="37"/>
      <c r="D43" s="37"/>
      <c r="E43" s="39"/>
      <c r="F43" s="0"/>
      <c r="G43" s="59"/>
      <c r="H43" s="57"/>
      <c r="I43" s="58"/>
      <c r="J43" s="40"/>
    </row>
    <row r="44" customFormat="false" ht="18.2" hidden="false" customHeight="true" outlineLevel="0" collapsed="false">
      <c r="A44" s="41" t="s">
        <v>73</v>
      </c>
      <c r="B44" s="41"/>
      <c r="C44" s="41"/>
      <c r="D44" s="41"/>
      <c r="E44" s="41"/>
      <c r="F44" s="60" t="n">
        <f aca="false">SUM(F25:F43)</f>
        <v>24</v>
      </c>
      <c r="G44" s="16"/>
      <c r="H44" s="61"/>
      <c r="I44" s="62" t="s">
        <v>74</v>
      </c>
      <c r="J44" s="17" t="n">
        <f aca="false">SUM(J25:J43)</f>
        <v>0.24</v>
      </c>
    </row>
    <row r="45" customFormat="false" ht="18.2" hidden="false" customHeight="true" outlineLevel="0" collapsed="false">
      <c r="A45" s="63" t="s">
        <v>75</v>
      </c>
      <c r="B45" s="64"/>
      <c r="C45" s="65"/>
      <c r="D45" s="65"/>
      <c r="E45" s="65"/>
      <c r="F45" s="66"/>
      <c r="G45" s="67"/>
      <c r="H45" s="67"/>
      <c r="I45" s="60"/>
      <c r="J45" s="68"/>
    </row>
    <row r="46" customFormat="false" ht="18.2" hidden="false" customHeight="true" outlineLevel="0" collapsed="false">
      <c r="A46" s="0"/>
      <c r="B46" s="0"/>
      <c r="C46" s="0"/>
      <c r="D46" s="0"/>
      <c r="E46" s="0"/>
      <c r="I46" s="6"/>
      <c r="J46" s="0"/>
    </row>
    <row r="47" customFormat="false" ht="18.2" hidden="false" customHeight="true" outlineLevel="0" collapsed="false">
      <c r="A47" s="69"/>
      <c r="B47" s="70"/>
      <c r="C47" s="71"/>
      <c r="D47" s="71"/>
      <c r="E47" s="71"/>
      <c r="I47" s="6"/>
      <c r="J47" s="0"/>
    </row>
    <row r="48" customFormat="false" ht="18.2" hidden="false" customHeight="true" outlineLevel="0" collapsed="false">
      <c r="A48" s="0"/>
      <c r="B48" s="70"/>
      <c r="C48" s="71"/>
      <c r="D48" s="71"/>
      <c r="E48" s="71"/>
      <c r="I48" s="6"/>
      <c r="J48" s="0"/>
    </row>
    <row r="49" customFormat="false" ht="18.2" hidden="false" customHeight="true" outlineLevel="0" collapsed="false">
      <c r="A49" s="5" t="s">
        <v>76</v>
      </c>
      <c r="I49" s="6"/>
      <c r="J49" s="0"/>
    </row>
    <row r="50" customFormat="false" ht="18.2" hidden="false" customHeight="true" outlineLevel="0" collapsed="false">
      <c r="I50" s="6"/>
      <c r="J50" s="0"/>
    </row>
    <row r="51" customFormat="false" ht="18.2" hidden="false" customHeight="true" outlineLevel="0" collapsed="false">
      <c r="J51" s="0"/>
    </row>
    <row r="52" customFormat="false" ht="18.2" hidden="false" customHeight="true" outlineLevel="0" collapsed="false">
      <c r="J52" s="72" t="str">
        <f aca="false">J15</f>
        <v>RUNGGU /QORRIZA/NUR/AZISNA</v>
      </c>
    </row>
    <row r="53" customFormat="false" ht="18.2" hidden="false" customHeight="true" outlineLevel="0" collapsed="false">
      <c r="J53" s="73" t="s">
        <v>77</v>
      </c>
    </row>
    <row r="54" customFormat="false" ht="12.75" hidden="false" customHeight="false" outlineLevel="0" collapsed="false">
      <c r="J54" s="0"/>
    </row>
    <row r="55" customFormat="false" ht="12.75" hidden="false" customHeight="true" outlineLevel="0" collapsed="false">
      <c r="J55" s="5" t="s">
        <v>78</v>
      </c>
    </row>
    <row r="65537" customFormat="false" ht="12.8" hidden="false" customHeight="true" outlineLevel="0" collapsed="false"/>
    <row r="65538" customFormat="false" ht="12.8" hidden="false" customHeight="true" outlineLevel="0" collapsed="false"/>
    <row r="65539" customFormat="false" ht="12.8" hidden="false" customHeight="true" outlineLevel="0" collapsed="false"/>
    <row r="65540" customFormat="false" ht="12.8" hidden="false" customHeight="true" outlineLevel="0" collapsed="false"/>
    <row r="65541" customFormat="false" ht="12.8" hidden="false" customHeight="true" outlineLevel="0" collapsed="false"/>
    <row r="65542" customFormat="false" ht="12.8" hidden="false" customHeight="true" outlineLevel="0" collapsed="false"/>
    <row r="65543" customFormat="false" ht="12.8" hidden="false" customHeight="true" outlineLevel="0" collapsed="false"/>
    <row r="65544" customFormat="false" ht="12.8" hidden="false" customHeight="true" outlineLevel="0" collapsed="false"/>
    <row r="65545" customFormat="false" ht="12.8" hidden="false" customHeight="true" outlineLevel="0" collapsed="false"/>
  </sheetData>
  <mergeCells count="3">
    <mergeCell ref="E8:G8"/>
    <mergeCell ref="G9:H9"/>
    <mergeCell ref="A44:E44"/>
  </mergeCells>
  <printOptions headings="false" gridLines="false" gridLinesSet="true" horizontalCentered="false" verticalCentered="false"/>
  <pageMargins left="0.28125" right="0.189583333333333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W65524"/>
  <sheetViews>
    <sheetView windowProtection="false" showFormulas="false" showGridLines="true" showRowColHeaders="true" showZeros="true" rightToLeft="false" tabSelected="false" showOutlineSymbols="true" defaultGridColor="true" view="normal" topLeftCell="C4" colorId="64" zoomScale="60" zoomScaleNormal="60" zoomScalePageLayoutView="100" workbookViewId="0">
      <selection pane="topLeft" activeCell="C28" activeCellId="0" sqref="C28"/>
    </sheetView>
  </sheetViews>
  <sheetFormatPr defaultRowHeight="12.75"/>
  <cols>
    <col collapsed="false" hidden="false" max="1" min="1" style="74" width="12.2857142857143"/>
    <col collapsed="false" hidden="false" max="2" min="2" style="74" width="47.515306122449"/>
    <col collapsed="false" hidden="false" max="3" min="3" style="75" width="26.4591836734694"/>
    <col collapsed="false" hidden="false" max="4" min="4" style="75" width="34.2857142857143"/>
    <col collapsed="false" hidden="false" max="5" min="5" style="75" width="56.9642857142857"/>
    <col collapsed="false" hidden="false" max="6" min="6" style="74" width="9.98979591836735"/>
    <col collapsed="false" hidden="false" max="7" min="7" style="74" width="19.3061224489796"/>
    <col collapsed="false" hidden="false" max="8" min="8" style="74" width="10.6632653061225"/>
    <col collapsed="false" hidden="false" max="9" min="9" style="74" width="4.72448979591837"/>
    <col collapsed="false" hidden="false" max="10" min="10" style="74" width="30.3724489795918"/>
    <col collapsed="false" hidden="false" max="257" min="11" style="74" width="10.6632653061225"/>
    <col collapsed="false" hidden="false" max="1025" min="258" style="0" width="8.36734693877551"/>
  </cols>
  <sheetData>
    <row r="1" customFormat="false" ht="22.85" hidden="false" customHeight="true" outlineLevel="0" collapsed="false">
      <c r="A1" s="76"/>
      <c r="B1" s="76"/>
      <c r="C1" s="77"/>
      <c r="D1" s="77"/>
      <c r="E1" s="77"/>
      <c r="F1" s="76"/>
      <c r="G1" s="76"/>
      <c r="H1" s="76"/>
      <c r="I1" s="76"/>
      <c r="J1" s="78" t="s">
        <v>77</v>
      </c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</row>
    <row r="2" customFormat="false" ht="12.8" hidden="false" customHeight="true" outlineLevel="0" collapsed="false">
      <c r="A2" s="76"/>
      <c r="B2" s="76"/>
      <c r="C2" s="77"/>
      <c r="D2" s="77"/>
      <c r="E2" s="77"/>
      <c r="F2" s="76"/>
      <c r="G2" s="76"/>
      <c r="H2" s="76"/>
      <c r="I2" s="76"/>
      <c r="J2" s="76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</row>
    <row r="3" customFormat="false" ht="22.85" hidden="false" customHeight="true" outlineLevel="0" collapsed="false">
      <c r="A3" s="79" t="s">
        <v>0</v>
      </c>
      <c r="B3" s="76"/>
      <c r="C3" s="77"/>
      <c r="D3" s="77"/>
      <c r="E3" s="77"/>
      <c r="F3" s="76"/>
      <c r="G3" s="76"/>
      <c r="H3" s="76" t="s">
        <v>1</v>
      </c>
      <c r="I3" s="77" t="s">
        <v>2</v>
      </c>
      <c r="J3" s="76" t="s">
        <v>3</v>
      </c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</row>
    <row r="4" customFormat="false" ht="22.85" hidden="false" customHeight="true" outlineLevel="0" collapsed="false">
      <c r="A4" s="76" t="s">
        <v>4</v>
      </c>
      <c r="B4" s="76"/>
      <c r="C4" s="77"/>
      <c r="D4" s="77"/>
      <c r="E4" s="77"/>
      <c r="F4" s="76"/>
      <c r="G4" s="76"/>
      <c r="H4" s="76" t="s">
        <v>5</v>
      </c>
      <c r="I4" s="77" t="s">
        <v>2</v>
      </c>
      <c r="J4" s="76" t="s">
        <v>6</v>
      </c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</row>
    <row r="5" customFormat="false" ht="22.85" hidden="false" customHeight="true" outlineLevel="0" collapsed="false">
      <c r="A5" s="76" t="s">
        <v>7</v>
      </c>
      <c r="B5" s="76"/>
      <c r="C5" s="77"/>
      <c r="D5" s="77"/>
      <c r="E5" s="77"/>
      <c r="F5" s="76"/>
      <c r="G5" s="76"/>
      <c r="H5" s="76"/>
      <c r="I5" s="77"/>
      <c r="J5" s="76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</row>
    <row r="6" customFormat="false" ht="22.85" hidden="false" customHeight="true" outlineLevel="0" collapsed="false">
      <c r="A6" s="76" t="s">
        <v>8</v>
      </c>
      <c r="B6" s="76"/>
      <c r="C6" s="77"/>
      <c r="D6" s="77"/>
      <c r="E6" s="77"/>
      <c r="F6" s="76"/>
      <c r="G6" s="76"/>
      <c r="H6" s="76"/>
      <c r="I6" s="77"/>
      <c r="J6" s="76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</row>
    <row r="7" customFormat="false" ht="18.2" hidden="false" customHeight="true" outlineLevel="0" collapsed="false">
      <c r="A7" s="76"/>
      <c r="B7" s="76"/>
      <c r="C7" s="77"/>
      <c r="D7" s="77"/>
      <c r="E7" s="77"/>
      <c r="F7" s="76"/>
      <c r="G7" s="76"/>
      <c r="H7" s="76"/>
      <c r="I7" s="77"/>
      <c r="J7" s="76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</row>
    <row r="8" customFormat="false" ht="18.2" hidden="false" customHeight="true" outlineLevel="0" collapsed="false">
      <c r="A8" s="76"/>
      <c r="B8" s="76"/>
      <c r="C8" s="77"/>
      <c r="D8" s="77"/>
      <c r="E8" s="80" t="s">
        <v>79</v>
      </c>
      <c r="F8" s="80" t="s">
        <v>10</v>
      </c>
      <c r="G8" s="80" t="s">
        <v>10</v>
      </c>
      <c r="H8" s="80"/>
      <c r="I8" s="80"/>
      <c r="J8" s="76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</row>
    <row r="9" customFormat="false" ht="18.2" hidden="false" customHeight="true" outlineLevel="0" collapsed="false">
      <c r="A9" s="76"/>
      <c r="B9" s="81"/>
      <c r="C9" s="77"/>
      <c r="D9" s="77"/>
      <c r="E9" s="82" t="str">
        <f aca="false">INVOICE!E9</f>
        <v>NO./MIF/APR/2025</v>
      </c>
      <c r="F9" s="83" t="s">
        <v>12</v>
      </c>
      <c r="G9" s="84" t="n">
        <f aca="false">INVOICE!G9</f>
        <v>45856</v>
      </c>
      <c r="H9" s="84"/>
      <c r="I9" s="77"/>
      <c r="J9" s="76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</row>
    <row r="10" customFormat="false" ht="18.2" hidden="false" customHeight="true" outlineLevel="0" collapsed="false">
      <c r="A10" s="76"/>
      <c r="B10" s="76"/>
      <c r="C10" s="77"/>
      <c r="D10" s="77"/>
      <c r="E10" s="77"/>
      <c r="F10" s="76"/>
      <c r="G10" s="76"/>
      <c r="H10" s="76"/>
      <c r="I10" s="77"/>
      <c r="J10" s="76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</row>
    <row r="11" customFormat="false" ht="18.2" hidden="false" customHeight="true" outlineLevel="0" collapsed="false">
      <c r="A11" s="85"/>
      <c r="B11" s="85"/>
      <c r="C11" s="86"/>
      <c r="D11" s="86"/>
      <c r="E11" s="86"/>
      <c r="F11" s="85"/>
      <c r="G11" s="87"/>
      <c r="H11" s="85"/>
      <c r="I11" s="86"/>
      <c r="J11" s="85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</row>
    <row r="12" customFormat="false" ht="18.2" hidden="false" customHeight="true" outlineLevel="0" collapsed="false">
      <c r="A12" s="76" t="s">
        <v>13</v>
      </c>
      <c r="B12" s="76"/>
      <c r="C12" s="77"/>
      <c r="D12" s="77"/>
      <c r="E12" s="77"/>
      <c r="F12" s="76"/>
      <c r="G12" s="88" t="s">
        <v>14</v>
      </c>
      <c r="H12" s="88"/>
      <c r="I12" s="89" t="s">
        <v>2</v>
      </c>
      <c r="J12" s="24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</row>
    <row r="13" customFormat="false" ht="18.2" hidden="false" customHeight="true" outlineLevel="0" collapsed="false">
      <c r="A13" s="76"/>
      <c r="B13" s="76"/>
      <c r="C13" s="77"/>
      <c r="D13" s="77"/>
      <c r="E13" s="77"/>
      <c r="F13" s="76"/>
      <c r="G13" s="90" t="s">
        <v>15</v>
      </c>
      <c r="H13" s="88"/>
      <c r="I13" s="89" t="s">
        <v>2</v>
      </c>
      <c r="J13" s="24"/>
      <c r="K13" s="0"/>
      <c r="L13" s="91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</row>
    <row r="14" customFormat="false" ht="18.2" hidden="false" customHeight="true" outlineLevel="0" collapsed="false">
      <c r="A14" s="76" t="s">
        <v>16</v>
      </c>
      <c r="B14" s="92" t="str">
        <f aca="false">INVOICE!B14</f>
        <v>7175 Willoughby Avenue</v>
      </c>
      <c r="C14" s="93"/>
      <c r="D14" s="93"/>
      <c r="E14" s="77"/>
      <c r="F14" s="76"/>
      <c r="G14" s="88" t="s">
        <v>18</v>
      </c>
      <c r="H14" s="88"/>
      <c r="I14" s="89" t="s">
        <v>2</v>
      </c>
      <c r="J14" s="18" t="s">
        <v>0</v>
      </c>
      <c r="K14" s="0"/>
      <c r="L14" s="91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</row>
    <row r="15" customFormat="false" ht="18.2" hidden="false" customHeight="true" outlineLevel="0" collapsed="false">
      <c r="A15" s="76"/>
      <c r="B15" s="92" t="str">
        <f aca="false">INVOICE!B15</f>
        <v>LOS ANGELES, CALIFORNIA 90046-6711</v>
      </c>
      <c r="C15" s="93"/>
      <c r="D15" s="93"/>
      <c r="E15" s="77"/>
      <c r="F15" s="76"/>
      <c r="G15" s="88" t="s">
        <v>20</v>
      </c>
      <c r="H15" s="88"/>
      <c r="I15" s="89" t="s">
        <v>2</v>
      </c>
      <c r="J15" s="24" t="s">
        <v>80</v>
      </c>
      <c r="K15" s="0"/>
      <c r="L15" s="91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</row>
    <row r="16" customFormat="false" ht="20.85" hidden="false" customHeight="true" outlineLevel="0" collapsed="false">
      <c r="A16" s="94"/>
      <c r="B16" s="92" t="str">
        <f aca="false">INVOICE!B16</f>
        <v>United States of America</v>
      </c>
      <c r="C16" s="93"/>
      <c r="D16" s="93"/>
      <c r="E16" s="77"/>
      <c r="F16" s="94"/>
      <c r="G16" s="88" t="s">
        <v>23</v>
      </c>
      <c r="H16" s="88"/>
      <c r="I16" s="89" t="s">
        <v>2</v>
      </c>
      <c r="J16" s="24" t="s">
        <v>81</v>
      </c>
      <c r="K16" s="0"/>
      <c r="L16" s="91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</row>
    <row r="17" customFormat="false" ht="18.2" hidden="false" customHeight="true" outlineLevel="0" collapsed="false">
      <c r="A17" s="94"/>
      <c r="B17" s="92" t="str">
        <f aca="false">INVOICE!B17</f>
        <v>Zip code: 90046-6711</v>
      </c>
      <c r="C17" s="93"/>
      <c r="D17" s="93"/>
      <c r="E17" s="77"/>
      <c r="F17" s="94"/>
      <c r="G17" s="90"/>
      <c r="H17" s="88"/>
      <c r="I17" s="89"/>
      <c r="J17" s="24"/>
      <c r="K17" s="0"/>
      <c r="L17" s="91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</row>
    <row r="18" customFormat="false" ht="18.2" hidden="false" customHeight="true" outlineLevel="0" collapsed="false">
      <c r="A18" s="94"/>
      <c r="B18" s="92" t="str">
        <f aca="false">INVOICE!B18</f>
        <v>Phone: +1 319-213-1273</v>
      </c>
      <c r="C18" s="93"/>
      <c r="D18" s="93"/>
      <c r="E18" s="77"/>
      <c r="F18" s="94"/>
      <c r="G18" s="90"/>
      <c r="H18" s="88"/>
      <c r="I18" s="89"/>
      <c r="J18" s="24"/>
      <c r="K18" s="0"/>
      <c r="L18" s="91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</row>
    <row r="19" customFormat="false" ht="18.2" hidden="false" customHeight="true" outlineLevel="0" collapsed="false">
      <c r="A19" s="94"/>
      <c r="B19" s="92"/>
      <c r="C19" s="93"/>
      <c r="D19" s="93"/>
      <c r="E19" s="77"/>
      <c r="F19" s="94"/>
      <c r="G19" s="94"/>
      <c r="H19" s="94"/>
      <c r="I19" s="95"/>
      <c r="J19" s="96"/>
      <c r="K19" s="0"/>
      <c r="L19" s="97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</row>
    <row r="20" customFormat="false" ht="18.2" hidden="false" customHeight="true" outlineLevel="0" collapsed="false">
      <c r="A20" s="98"/>
      <c r="B20" s="92"/>
      <c r="C20" s="93"/>
      <c r="D20" s="93"/>
      <c r="E20" s="77"/>
      <c r="F20" s="98"/>
      <c r="G20" s="94"/>
      <c r="H20" s="94"/>
      <c r="I20" s="95"/>
      <c r="J20" s="96"/>
      <c r="K20" s="0"/>
      <c r="L20" s="97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</row>
    <row r="21" customFormat="false" ht="18.2" hidden="false" customHeight="true" outlineLevel="0" collapsed="false">
      <c r="A21" s="99" t="s">
        <v>28</v>
      </c>
      <c r="B21" s="100"/>
      <c r="C21" s="100"/>
      <c r="D21" s="100"/>
      <c r="E21" s="100"/>
      <c r="F21" s="100" t="s">
        <v>29</v>
      </c>
      <c r="G21" s="100"/>
      <c r="H21" s="100"/>
      <c r="I21" s="101"/>
      <c r="J21" s="101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</row>
    <row r="22" customFormat="false" ht="18.2" hidden="false" customHeight="true" outlineLevel="0" collapsed="false">
      <c r="A22" s="102" t="s">
        <v>30</v>
      </c>
      <c r="B22" s="102" t="s">
        <v>31</v>
      </c>
      <c r="C22" s="102" t="s">
        <v>32</v>
      </c>
      <c r="D22" s="102" t="s">
        <v>82</v>
      </c>
      <c r="E22" s="103" t="s">
        <v>83</v>
      </c>
      <c r="F22" s="103" t="s">
        <v>35</v>
      </c>
      <c r="G22" s="103" t="s">
        <v>36</v>
      </c>
      <c r="H22" s="103" t="s">
        <v>84</v>
      </c>
      <c r="I22" s="103"/>
      <c r="J22" s="103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</row>
    <row r="23" customFormat="false" ht="18.2" hidden="false" customHeight="true" outlineLevel="0" collapsed="false">
      <c r="A23" s="104"/>
      <c r="B23" s="105"/>
      <c r="C23" s="106"/>
      <c r="D23" s="106"/>
      <c r="E23" s="107"/>
      <c r="F23" s="76"/>
      <c r="G23" s="104"/>
      <c r="H23" s="106"/>
      <c r="I23" s="107"/>
      <c r="J23" s="108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</row>
    <row r="24" customFormat="false" ht="29.85" hidden="false" customHeight="true" outlineLevel="0" collapsed="false">
      <c r="A24" s="42" t="n">
        <v>1</v>
      </c>
      <c r="B24" s="43" t="s">
        <v>59</v>
      </c>
      <c r="C24" s="53" t="s">
        <v>85</v>
      </c>
      <c r="D24" s="53" t="s">
        <v>86</v>
      </c>
      <c r="E24" s="46" t="s">
        <v>87</v>
      </c>
      <c r="F24" s="42" t="n">
        <v>2</v>
      </c>
      <c r="G24" s="42" t="s">
        <v>88</v>
      </c>
      <c r="H24" s="47" t="n">
        <v>0.01</v>
      </c>
      <c r="I24" s="48"/>
      <c r="J24" s="42" t="n">
        <f aca="false">+F24*H24</f>
        <v>0.02</v>
      </c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</row>
    <row r="25" s="109" customFormat="true" ht="29.85" hidden="false" customHeight="true" outlineLevel="0" collapsed="false">
      <c r="A25" s="42" t="n">
        <v>2</v>
      </c>
      <c r="B25" s="43" t="s">
        <v>89</v>
      </c>
      <c r="C25" s="51" t="s">
        <v>90</v>
      </c>
      <c r="D25" s="51" t="s">
        <v>86</v>
      </c>
      <c r="E25" s="46" t="s">
        <v>87</v>
      </c>
      <c r="F25" s="42" t="n">
        <v>2</v>
      </c>
      <c r="G25" s="42" t="s">
        <v>88</v>
      </c>
      <c r="H25" s="47" t="n">
        <v>0.01</v>
      </c>
      <c r="I25" s="48"/>
      <c r="J25" s="42" t="n">
        <f aca="false">SUM(F25*H25)</f>
        <v>0.02</v>
      </c>
    </row>
    <row r="26" s="109" customFormat="true" ht="29.85" hidden="false" customHeight="true" outlineLevel="0" collapsed="false">
      <c r="A26" s="42" t="n">
        <v>3</v>
      </c>
      <c r="B26" s="43"/>
      <c r="C26" s="51" t="s">
        <v>90</v>
      </c>
      <c r="D26" s="51" t="s">
        <v>91</v>
      </c>
      <c r="E26" s="46" t="s">
        <v>87</v>
      </c>
      <c r="F26" s="42" t="n">
        <v>2</v>
      </c>
      <c r="G26" s="42" t="s">
        <v>88</v>
      </c>
      <c r="H26" s="47" t="n">
        <v>0.01</v>
      </c>
      <c r="I26" s="48"/>
      <c r="J26" s="42" t="n">
        <f aca="false">SUM(F26*H26)</f>
        <v>0.02</v>
      </c>
    </row>
    <row r="27" s="109" customFormat="true" ht="29.85" hidden="false" customHeight="true" outlineLevel="0" collapsed="false">
      <c r="A27" s="42" t="n">
        <v>4</v>
      </c>
      <c r="B27" s="43"/>
      <c r="C27" s="51" t="s">
        <v>90</v>
      </c>
      <c r="D27" s="51" t="s">
        <v>92</v>
      </c>
      <c r="E27" s="46" t="s">
        <v>87</v>
      </c>
      <c r="F27" s="42" t="n">
        <v>2</v>
      </c>
      <c r="G27" s="42" t="s">
        <v>88</v>
      </c>
      <c r="H27" s="47" t="n">
        <v>0.01</v>
      </c>
      <c r="I27" s="48"/>
      <c r="J27" s="42" t="n">
        <f aca="false">SUM(F27*H27)</f>
        <v>0.02</v>
      </c>
    </row>
    <row r="28" s="109" customFormat="true" ht="29.85" hidden="false" customHeight="true" outlineLevel="0" collapsed="false">
      <c r="A28" s="42" t="n">
        <v>5</v>
      </c>
      <c r="B28" s="43" t="s">
        <v>93</v>
      </c>
      <c r="C28" s="51" t="s">
        <v>94</v>
      </c>
      <c r="D28" s="51" t="s">
        <v>95</v>
      </c>
      <c r="E28" s="46" t="s">
        <v>96</v>
      </c>
      <c r="F28" s="42" t="n">
        <v>20</v>
      </c>
      <c r="G28" s="42" t="s">
        <v>88</v>
      </c>
      <c r="H28" s="47" t="n">
        <v>0.01</v>
      </c>
      <c r="I28" s="48"/>
      <c r="J28" s="42" t="n">
        <f aca="false">SUM(F28*H28)</f>
        <v>0.2</v>
      </c>
    </row>
    <row r="29" customFormat="false" ht="29.85" hidden="false" customHeight="true" outlineLevel="0" collapsed="false">
      <c r="A29" s="42" t="n">
        <v>6</v>
      </c>
      <c r="B29" s="52" t="s">
        <v>93</v>
      </c>
      <c r="C29" s="53" t="s">
        <v>97</v>
      </c>
      <c r="D29" s="53" t="s">
        <v>98</v>
      </c>
      <c r="E29" s="46" t="s">
        <v>99</v>
      </c>
      <c r="F29" s="42" t="n">
        <v>20</v>
      </c>
      <c r="G29" s="42" t="s">
        <v>88</v>
      </c>
      <c r="H29" s="47" t="n">
        <v>0.01</v>
      </c>
      <c r="I29" s="48"/>
      <c r="J29" s="42" t="n">
        <f aca="false">SUM(F29*H29)</f>
        <v>0.2</v>
      </c>
    </row>
    <row r="30" customFormat="false" ht="29.85" hidden="false" customHeight="true" outlineLevel="0" collapsed="false">
      <c r="A30" s="42"/>
      <c r="B30" s="52"/>
      <c r="C30" s="53"/>
      <c r="D30" s="53"/>
      <c r="E30" s="46"/>
      <c r="F30" s="42"/>
      <c r="G30" s="42"/>
      <c r="H30" s="47"/>
      <c r="I30" s="48"/>
      <c r="J30" s="42"/>
    </row>
    <row r="31" customFormat="false" ht="18.2" hidden="false" customHeight="true" outlineLevel="0" collapsed="false">
      <c r="A31" s="110"/>
      <c r="B31" s="111"/>
      <c r="C31" s="112"/>
      <c r="D31" s="112"/>
      <c r="E31" s="112"/>
      <c r="F31" s="112"/>
      <c r="G31" s="112"/>
      <c r="H31" s="113"/>
      <c r="I31" s="114"/>
      <c r="J31" s="108"/>
    </row>
    <row r="32" customFormat="false" ht="18.2" hidden="false" customHeight="true" outlineLevel="0" collapsed="false">
      <c r="A32" s="110"/>
      <c r="B32" s="111"/>
      <c r="C32" s="112"/>
      <c r="D32" s="112"/>
      <c r="E32" s="112"/>
      <c r="F32" s="112"/>
      <c r="G32" s="112"/>
      <c r="H32" s="113"/>
      <c r="I32" s="114"/>
      <c r="J32" s="108"/>
    </row>
    <row r="33" customFormat="false" ht="18.2" hidden="false" customHeight="true" outlineLevel="0" collapsed="false">
      <c r="A33" s="110"/>
      <c r="B33" s="111"/>
      <c r="C33" s="112"/>
      <c r="D33" s="112"/>
      <c r="E33" s="111"/>
      <c r="F33" s="112"/>
      <c r="G33" s="112"/>
      <c r="H33" s="113"/>
      <c r="I33" s="114"/>
      <c r="J33" s="108"/>
    </row>
    <row r="34" customFormat="false" ht="18.2" hidden="false" customHeight="true" outlineLevel="0" collapsed="false">
      <c r="A34" s="110"/>
      <c r="B34" s="115" t="str">
        <f aca="false">INVOICE!B41</f>
        <v>SAMPLES OF NO COMMERCIAL VALUE</v>
      </c>
      <c r="C34" s="112"/>
      <c r="D34" s="112"/>
      <c r="E34" s="111"/>
      <c r="F34" s="112"/>
      <c r="G34" s="112"/>
      <c r="H34" s="113"/>
      <c r="I34" s="114"/>
      <c r="J34" s="108"/>
    </row>
    <row r="35" customFormat="false" ht="18.2" hidden="false" customHeight="true" outlineLevel="0" collapsed="false">
      <c r="A35" s="110"/>
      <c r="B35" s="111"/>
      <c r="C35" s="112"/>
      <c r="D35" s="112"/>
      <c r="E35" s="111"/>
      <c r="F35" s="112"/>
      <c r="G35" s="112"/>
      <c r="H35" s="113"/>
      <c r="I35" s="114"/>
      <c r="J35" s="108"/>
    </row>
    <row r="36" customFormat="false" ht="18.2" hidden="false" customHeight="true" outlineLevel="0" collapsed="false">
      <c r="A36" s="116"/>
      <c r="B36" s="117"/>
      <c r="C36" s="118"/>
      <c r="D36" s="118"/>
      <c r="E36" s="117"/>
      <c r="F36" s="118"/>
      <c r="G36" s="118"/>
      <c r="H36" s="119"/>
      <c r="I36" s="120"/>
      <c r="J36" s="121"/>
    </row>
    <row r="37" customFormat="false" ht="18.2" hidden="false" customHeight="true" outlineLevel="0" collapsed="false">
      <c r="A37" s="76"/>
      <c r="B37" s="76"/>
      <c r="C37" s="77"/>
      <c r="D37" s="77"/>
      <c r="E37" s="77"/>
      <c r="F37" s="76"/>
      <c r="G37" s="76"/>
      <c r="H37" s="76"/>
      <c r="I37" s="77"/>
      <c r="J37" s="76"/>
    </row>
    <row r="38" customFormat="false" ht="18.2" hidden="false" customHeight="true" outlineLevel="0" collapsed="false">
      <c r="A38" s="76"/>
      <c r="B38" s="76"/>
      <c r="C38" s="77"/>
      <c r="D38" s="77"/>
      <c r="E38" s="77"/>
      <c r="F38" s="76"/>
      <c r="G38" s="76"/>
      <c r="H38" s="76"/>
      <c r="I38" s="76"/>
      <c r="J38" s="76"/>
    </row>
    <row r="39" customFormat="false" ht="18.2" hidden="false" customHeight="true" outlineLevel="0" collapsed="false">
      <c r="A39" s="76"/>
      <c r="B39" s="76"/>
      <c r="C39" s="77"/>
      <c r="D39" s="77"/>
      <c r="E39" s="77"/>
      <c r="F39" s="76"/>
      <c r="G39" s="76"/>
      <c r="H39" s="76"/>
      <c r="I39" s="76"/>
      <c r="J39" s="122" t="str">
        <f aca="false">J15</f>
        <v>RUNGGU/NUR</v>
      </c>
    </row>
    <row r="40" customFormat="false" ht="18.2" hidden="false" customHeight="true" outlineLevel="0" collapsed="false">
      <c r="A40" s="76"/>
      <c r="B40" s="76"/>
      <c r="C40" s="77"/>
      <c r="D40" s="77"/>
      <c r="E40" s="77"/>
      <c r="F40" s="76"/>
      <c r="G40" s="76"/>
      <c r="H40" s="76"/>
      <c r="I40" s="76"/>
      <c r="J40" s="95" t="s">
        <v>77</v>
      </c>
    </row>
    <row r="65524" customFormat="false" ht="12.8" hidden="false" customHeight="true" outlineLevel="0" collapsed="false"/>
    <row r="65525" customFormat="false" ht="12.8" hidden="false" customHeight="true" outlineLevel="0" collapsed="false"/>
    <row r="65526" customFormat="false" ht="12.8" hidden="false" customHeight="true" outlineLevel="0" collapsed="false"/>
    <row r="65527" customFormat="false" ht="12.8" hidden="false" customHeight="true" outlineLevel="0" collapsed="false"/>
    <row r="65528" customFormat="false" ht="12.8" hidden="false" customHeight="true" outlineLevel="0" collapsed="false"/>
    <row r="65529" customFormat="false" ht="12.8" hidden="false" customHeight="true" outlineLevel="0" collapsed="false"/>
    <row r="65530" customFormat="false" ht="12.8" hidden="false" customHeight="true" outlineLevel="0" collapsed="false"/>
    <row r="65531" customFormat="false" ht="12.8" hidden="false" customHeight="true" outlineLevel="0" collapsed="false"/>
    <row r="65532" customFormat="false" ht="12.8" hidden="false" customHeight="true" outlineLevel="0" collapsed="false"/>
    <row r="65533" customFormat="false" ht="12.8" hidden="false" customHeight="true" outlineLevel="0" collapsed="false"/>
    <row r="65534" customFormat="false" ht="12.8" hidden="false" customHeight="true" outlineLevel="0" collapsed="false"/>
    <row r="65535" customFormat="false" ht="12.8" hidden="false" customHeight="true" outlineLevel="0" collapsed="false"/>
    <row r="65536" customFormat="false" ht="12.8" hidden="false" customHeight="true" outlineLevel="0" collapsed="false"/>
  </sheetData>
  <mergeCells count="2">
    <mergeCell ref="E8:G8"/>
    <mergeCell ref="G9:H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320</TotalTime>
  <Application>LibreOffice/5.0.3.2$Linux_x86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language>en-US</dc:language>
  <cp:lastModifiedBy>user </cp:lastModifiedBy>
  <dcterms:modified xsi:type="dcterms:W3CDTF">2025-07-18T14:52:41Z</dcterms:modified>
  <cp:revision>66</cp:revision>
</cp:coreProperties>
</file>