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6380" windowHeight="8190" tabRatio="500" activeTab="1"/>
  </bookViews>
  <sheets>
    <sheet name="CI" sheetId="1" r:id="rId1"/>
    <sheet name="PL FC Utrecht" sheetId="2" r:id="rId2"/>
    <sheet name="CLP" sheetId="3" r:id="rId3"/>
  </sheets>
  <definedNames>
    <definedName name="_xlnm._FilterDatabase" localSheetId="2" hidden="1">CLP!$A$15:$M$45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368" i="2"/>
  <c r="O367"/>
  <c r="O388"/>
  <c r="O387"/>
  <c r="O398"/>
  <c r="O397"/>
  <c r="O418"/>
  <c r="O417"/>
  <c r="O364"/>
  <c r="Y312"/>
  <c r="Y313"/>
  <c r="Y314"/>
  <c r="S312"/>
  <c r="S313"/>
  <c r="S314"/>
  <c r="O317"/>
  <c r="O316"/>
  <c r="O290"/>
  <c r="O289"/>
  <c r="O41"/>
  <c r="H92" i="1"/>
  <c r="H91"/>
  <c r="M42" i="3"/>
  <c r="L42"/>
  <c r="K42"/>
  <c r="J42"/>
  <c r="I42"/>
  <c r="M41"/>
  <c r="L41"/>
  <c r="K41"/>
  <c r="J41"/>
  <c r="I41"/>
  <c r="M40"/>
  <c r="L40"/>
  <c r="K40"/>
  <c r="J40"/>
  <c r="I40"/>
  <c r="M39"/>
  <c r="L39"/>
  <c r="K39"/>
  <c r="J39"/>
  <c r="I39"/>
  <c r="M38"/>
  <c r="L38"/>
  <c r="K38"/>
  <c r="J38"/>
  <c r="I38"/>
  <c r="M37"/>
  <c r="L37"/>
  <c r="K37"/>
  <c r="J37"/>
  <c r="I37"/>
  <c r="M36"/>
  <c r="L36"/>
  <c r="K36"/>
  <c r="J36"/>
  <c r="I36"/>
  <c r="M35"/>
  <c r="L35"/>
  <c r="K35"/>
  <c r="J35"/>
  <c r="I35"/>
  <c r="M34"/>
  <c r="L34"/>
  <c r="K34"/>
  <c r="J34"/>
  <c r="I34"/>
  <c r="L33"/>
  <c r="K33"/>
  <c r="M32"/>
  <c r="L32"/>
  <c r="K32"/>
  <c r="J32"/>
  <c r="I32"/>
  <c r="M31"/>
  <c r="L31"/>
  <c r="K31"/>
  <c r="J31"/>
  <c r="I31"/>
  <c r="M30"/>
  <c r="L30"/>
  <c r="K30"/>
  <c r="J30"/>
  <c r="I30"/>
  <c r="M29"/>
  <c r="L29"/>
  <c r="K29"/>
  <c r="J29"/>
  <c r="I29"/>
  <c r="M28"/>
  <c r="L28"/>
  <c r="K28"/>
  <c r="J28"/>
  <c r="I28"/>
  <c r="M27"/>
  <c r="L27"/>
  <c r="K27"/>
  <c r="J27"/>
  <c r="I27"/>
  <c r="M26"/>
  <c r="L26"/>
  <c r="K26"/>
  <c r="J26"/>
  <c r="I26"/>
  <c r="M25"/>
  <c r="L25"/>
  <c r="K25"/>
  <c r="J25"/>
  <c r="I25"/>
  <c r="M45"/>
  <c r="L45"/>
  <c r="K45"/>
  <c r="J45"/>
  <c r="I45"/>
  <c r="M44"/>
  <c r="L44"/>
  <c r="K44"/>
  <c r="J44"/>
  <c r="I44"/>
  <c r="M43"/>
  <c r="L43"/>
  <c r="K43"/>
  <c r="J43"/>
  <c r="I43"/>
  <c r="M24"/>
  <c r="L24"/>
  <c r="K24"/>
  <c r="J24"/>
  <c r="I24"/>
  <c r="M23"/>
  <c r="L23"/>
  <c r="K23"/>
  <c r="J23"/>
  <c r="I23"/>
  <c r="M22"/>
  <c r="L22"/>
  <c r="K22"/>
  <c r="J22"/>
  <c r="I22"/>
  <c r="M21"/>
  <c r="L21"/>
  <c r="K21"/>
  <c r="J21"/>
  <c r="I21"/>
  <c r="M20" l="1"/>
  <c r="L20"/>
  <c r="K20"/>
  <c r="J20"/>
  <c r="I20"/>
  <c r="M19"/>
  <c r="L19"/>
  <c r="K19"/>
  <c r="J19"/>
  <c r="I19"/>
  <c r="M18"/>
  <c r="L18"/>
  <c r="K18"/>
  <c r="J18"/>
  <c r="I18"/>
  <c r="M17"/>
  <c r="L17"/>
  <c r="K17"/>
  <c r="J17"/>
  <c r="I17"/>
  <c r="M16"/>
  <c r="L16"/>
  <c r="K16"/>
  <c r="J16"/>
  <c r="I16"/>
  <c r="Z425" i="2"/>
  <c r="Z416"/>
  <c r="Y416"/>
  <c r="W416"/>
  <c r="V416"/>
  <c r="U416"/>
  <c r="T416"/>
  <c r="R416"/>
  <c r="Y414"/>
  <c r="S414"/>
  <c r="S416" s="1"/>
  <c r="Z406"/>
  <c r="Y406"/>
  <c r="W406"/>
  <c r="V406"/>
  <c r="U406"/>
  <c r="T406"/>
  <c r="R406"/>
  <c r="Y404"/>
  <c r="S404"/>
  <c r="S406" s="1"/>
  <c r="Z396"/>
  <c r="Y396"/>
  <c r="W396"/>
  <c r="V396"/>
  <c r="U396"/>
  <c r="T396"/>
  <c r="R396"/>
  <c r="Y394"/>
  <c r="S394"/>
  <c r="S396" s="1"/>
  <c r="Z386"/>
  <c r="Y386"/>
  <c r="W386"/>
  <c r="V386"/>
  <c r="U386"/>
  <c r="T386"/>
  <c r="R386"/>
  <c r="Y384"/>
  <c r="S384"/>
  <c r="S386" s="1"/>
  <c r="Z376"/>
  <c r="Z420" s="1"/>
  <c r="Y376"/>
  <c r="W376"/>
  <c r="V376"/>
  <c r="U376"/>
  <c r="T376"/>
  <c r="R376"/>
  <c r="Y374"/>
  <c r="S374"/>
  <c r="S376" s="1"/>
  <c r="W366"/>
  <c r="V366"/>
  <c r="U366"/>
  <c r="T366"/>
  <c r="S366"/>
  <c r="R366"/>
  <c r="Y364"/>
  <c r="Y366" s="1"/>
  <c r="S364"/>
  <c r="Q364"/>
  <c r="O374" s="1"/>
  <c r="Q374" s="1"/>
  <c r="O384" s="1"/>
  <c r="Q384" s="1"/>
  <c r="O394" s="1"/>
  <c r="Q394" s="1"/>
  <c r="O404" s="1"/>
  <c r="Q404" s="1"/>
  <c r="O414" s="1"/>
  <c r="Q414" s="1"/>
  <c r="O358"/>
  <c r="O357"/>
  <c r="Z356"/>
  <c r="Y356"/>
  <c r="R356"/>
  <c r="Y354"/>
  <c r="U354"/>
  <c r="U356" s="1"/>
  <c r="S354"/>
  <c r="S356" s="1"/>
  <c r="O348"/>
  <c r="O347"/>
  <c r="Z346"/>
  <c r="Y346"/>
  <c r="R346"/>
  <c r="Y344"/>
  <c r="U344"/>
  <c r="U346" s="1"/>
  <c r="S344"/>
  <c r="S346" s="1"/>
  <c r="O344"/>
  <c r="Q344" s="1"/>
  <c r="O354" s="1"/>
  <c r="Q354" s="1"/>
  <c r="Z336"/>
  <c r="Y336"/>
  <c r="Y420" s="1"/>
  <c r="R336"/>
  <c r="R420" s="1"/>
  <c r="Y334"/>
  <c r="U334"/>
  <c r="U336" s="1"/>
  <c r="S334"/>
  <c r="S336" s="1"/>
  <c r="S420" s="1"/>
  <c r="Q334"/>
  <c r="Y315"/>
  <c r="M33" i="3" s="1"/>
  <c r="R315" i="2"/>
  <c r="I33" i="3" s="1"/>
  <c r="Y311" i="2"/>
  <c r="S311"/>
  <c r="Y310"/>
  <c r="S310"/>
  <c r="S302"/>
  <c r="R302"/>
  <c r="Y301"/>
  <c r="S301"/>
  <c r="Y300"/>
  <c r="S300"/>
  <c r="Y299"/>
  <c r="S299"/>
  <c r="Y298"/>
  <c r="S298"/>
  <c r="Y297"/>
  <c r="S297"/>
  <c r="Y296"/>
  <c r="Y302" s="1"/>
  <c r="S296"/>
  <c r="Y288"/>
  <c r="R288"/>
  <c r="Y287"/>
  <c r="S287"/>
  <c r="Y286"/>
  <c r="S286"/>
  <c r="Y285"/>
  <c r="S285"/>
  <c r="Y284"/>
  <c r="S284"/>
  <c r="Y283"/>
  <c r="S283"/>
  <c r="S288" s="1"/>
  <c r="S275"/>
  <c r="R275"/>
  <c r="Y274"/>
  <c r="S274"/>
  <c r="Y273"/>
  <c r="S273"/>
  <c r="Y272"/>
  <c r="S272"/>
  <c r="Y271"/>
  <c r="S271"/>
  <c r="Y270"/>
  <c r="Y275" s="1"/>
  <c r="S270"/>
  <c r="Y262"/>
  <c r="R262"/>
  <c r="Y261"/>
  <c r="S261"/>
  <c r="Y260"/>
  <c r="S260"/>
  <c r="Y259"/>
  <c r="S259"/>
  <c r="Y258"/>
  <c r="S258"/>
  <c r="S262" s="1"/>
  <c r="S250"/>
  <c r="R250"/>
  <c r="Y249"/>
  <c r="S249"/>
  <c r="Y248"/>
  <c r="S248"/>
  <c r="Y247"/>
  <c r="S247"/>
  <c r="Y246"/>
  <c r="Y250" s="1"/>
  <c r="S246"/>
  <c r="Y238"/>
  <c r="R238"/>
  <c r="Y237"/>
  <c r="S237"/>
  <c r="Y236"/>
  <c r="S236"/>
  <c r="S238" s="1"/>
  <c r="S228"/>
  <c r="R228"/>
  <c r="Y227"/>
  <c r="S227"/>
  <c r="Y226"/>
  <c r="S226"/>
  <c r="Y225"/>
  <c r="Y228" s="1"/>
  <c r="S225"/>
  <c r="O219"/>
  <c r="O218"/>
  <c r="Z217"/>
  <c r="Z319" s="1"/>
  <c r="U217"/>
  <c r="S217"/>
  <c r="R217"/>
  <c r="R319" s="1"/>
  <c r="Y216"/>
  <c r="Y217" s="1"/>
  <c r="Y319" s="1"/>
  <c r="U216"/>
  <c r="W216" s="1"/>
  <c r="W217" s="1"/>
  <c r="W319" s="1"/>
  <c r="T216"/>
  <c r="T217" s="1"/>
  <c r="S216"/>
  <c r="Q216"/>
  <c r="Z200"/>
  <c r="Z204" s="1"/>
  <c r="Y200"/>
  <c r="W200"/>
  <c r="W204" s="1"/>
  <c r="V200"/>
  <c r="V204" s="1"/>
  <c r="U200"/>
  <c r="T200"/>
  <c r="R200"/>
  <c r="Y198"/>
  <c r="S198"/>
  <c r="S200" s="1"/>
  <c r="O192"/>
  <c r="O191"/>
  <c r="R190"/>
  <c r="Y188"/>
  <c r="S188"/>
  <c r="Y187"/>
  <c r="S187"/>
  <c r="Y186"/>
  <c r="S186"/>
  <c r="Y185"/>
  <c r="S185"/>
  <c r="Y184"/>
  <c r="S184"/>
  <c r="Y183"/>
  <c r="S183"/>
  <c r="Y182"/>
  <c r="S182"/>
  <c r="Y181"/>
  <c r="S181"/>
  <c r="Y180"/>
  <c r="S180"/>
  <c r="Y179"/>
  <c r="S179"/>
  <c r="Y178"/>
  <c r="Y190" s="1"/>
  <c r="S178"/>
  <c r="S190" s="1"/>
  <c r="O172"/>
  <c r="O171"/>
  <c r="Y170"/>
  <c r="Y204" s="1"/>
  <c r="R170"/>
  <c r="R204" s="1"/>
  <c r="Y169"/>
  <c r="S169"/>
  <c r="Y168"/>
  <c r="S168"/>
  <c r="Y167"/>
  <c r="S167"/>
  <c r="Y166"/>
  <c r="S166"/>
  <c r="Y165"/>
  <c r="S165"/>
  <c r="O165"/>
  <c r="Q165" s="1"/>
  <c r="O166" s="1"/>
  <c r="Q166" s="1"/>
  <c r="O167" s="1"/>
  <c r="Q167" s="1"/>
  <c r="O168" s="1"/>
  <c r="Q168" s="1"/>
  <c r="O169" s="1"/>
  <c r="Q169" s="1"/>
  <c r="O178" s="1"/>
  <c r="Q178" s="1"/>
  <c r="O179" s="1"/>
  <c r="Q179" s="1"/>
  <c r="O180" s="1"/>
  <c r="Q180" s="1"/>
  <c r="O181" s="1"/>
  <c r="Q181" s="1"/>
  <c r="O182" s="1"/>
  <c r="Q182" s="1"/>
  <c r="O183" s="1"/>
  <c r="Q183" s="1"/>
  <c r="O184" s="1"/>
  <c r="Q184" s="1"/>
  <c r="O185" s="1"/>
  <c r="Q185" s="1"/>
  <c r="O186" s="1"/>
  <c r="Q186" s="1"/>
  <c r="O187" s="1"/>
  <c r="Q187" s="1"/>
  <c r="O188" s="1"/>
  <c r="Q188" s="1"/>
  <c r="O198" s="1"/>
  <c r="Q198" s="1"/>
  <c r="Y164"/>
  <c r="S164"/>
  <c r="S170" s="1"/>
  <c r="S204" s="1"/>
  <c r="Q164"/>
  <c r="Z147"/>
  <c r="W147"/>
  <c r="V147"/>
  <c r="U147"/>
  <c r="T147"/>
  <c r="R147"/>
  <c r="Y146"/>
  <c r="S146"/>
  <c r="Y145"/>
  <c r="S145"/>
  <c r="Y144"/>
  <c r="S144"/>
  <c r="Y143"/>
  <c r="S143"/>
  <c r="Y142"/>
  <c r="S142"/>
  <c r="Y141"/>
  <c r="S141"/>
  <c r="Y140"/>
  <c r="S140"/>
  <c r="Y139"/>
  <c r="Y147" s="1"/>
  <c r="S139"/>
  <c r="Z131"/>
  <c r="W131"/>
  <c r="V131"/>
  <c r="U131"/>
  <c r="T131"/>
  <c r="R131"/>
  <c r="Y130"/>
  <c r="S130"/>
  <c r="Y129"/>
  <c r="S129"/>
  <c r="Y128"/>
  <c r="Y131" s="1"/>
  <c r="S128"/>
  <c r="S131" s="1"/>
  <c r="O122"/>
  <c r="O121"/>
  <c r="R120"/>
  <c r="Y118"/>
  <c r="S118"/>
  <c r="Y117"/>
  <c r="S117"/>
  <c r="Y116"/>
  <c r="S116"/>
  <c r="Y115"/>
  <c r="S115"/>
  <c r="Y114"/>
  <c r="S114"/>
  <c r="Y113"/>
  <c r="S113"/>
  <c r="Y112"/>
  <c r="S112"/>
  <c r="Y111"/>
  <c r="Y120" s="1"/>
  <c r="S111"/>
  <c r="S120" s="1"/>
  <c r="O105"/>
  <c r="O104"/>
  <c r="R103"/>
  <c r="Y102"/>
  <c r="S102"/>
  <c r="Y101"/>
  <c r="S101"/>
  <c r="Y100"/>
  <c r="S100"/>
  <c r="Y99"/>
  <c r="S99"/>
  <c r="Y98"/>
  <c r="S98"/>
  <c r="Y97"/>
  <c r="S97"/>
  <c r="Y96"/>
  <c r="S96"/>
  <c r="Y95"/>
  <c r="S95"/>
  <c r="Y94"/>
  <c r="S94"/>
  <c r="Y93"/>
  <c r="S93"/>
  <c r="Y92"/>
  <c r="Y103" s="1"/>
  <c r="S92"/>
  <c r="S103" s="1"/>
  <c r="O86"/>
  <c r="O85"/>
  <c r="R84"/>
  <c r="Y82"/>
  <c r="S82"/>
  <c r="Y81"/>
  <c r="S81"/>
  <c r="Y80"/>
  <c r="S80"/>
  <c r="Y79"/>
  <c r="S79"/>
  <c r="Y78"/>
  <c r="Y84" s="1"/>
  <c r="S78"/>
  <c r="S84" s="1"/>
  <c r="O72"/>
  <c r="O71"/>
  <c r="R70"/>
  <c r="Y68"/>
  <c r="S68"/>
  <c r="Y67"/>
  <c r="S67"/>
  <c r="Y66"/>
  <c r="S66"/>
  <c r="Y65"/>
  <c r="Y70" s="1"/>
  <c r="S65"/>
  <c r="S70" s="1"/>
  <c r="O59"/>
  <c r="O58"/>
  <c r="R57"/>
  <c r="Y56"/>
  <c r="S56"/>
  <c r="Y55"/>
  <c r="S55"/>
  <c r="Y54"/>
  <c r="S54"/>
  <c r="Y53"/>
  <c r="S53"/>
  <c r="Y52"/>
  <c r="S52"/>
  <c r="Y51"/>
  <c r="Y57" s="1"/>
  <c r="S51"/>
  <c r="S57" s="1"/>
  <c r="O45"/>
  <c r="O44"/>
  <c r="Y43"/>
  <c r="R43"/>
  <c r="Y41"/>
  <c r="S41"/>
  <c r="S43" s="1"/>
  <c r="Q41"/>
  <c r="O51" s="1"/>
  <c r="Q51" s="1"/>
  <c r="O52" s="1"/>
  <c r="Q52" s="1"/>
  <c r="O53" s="1"/>
  <c r="Q53" s="1"/>
  <c r="O54" s="1"/>
  <c r="Q54" s="1"/>
  <c r="O55" s="1"/>
  <c r="Q55" s="1"/>
  <c r="O56" s="1"/>
  <c r="Q56" s="1"/>
  <c r="O65" s="1"/>
  <c r="Q65" s="1"/>
  <c r="O66" s="1"/>
  <c r="Q66" s="1"/>
  <c r="O67" s="1"/>
  <c r="Q67" s="1"/>
  <c r="O68" s="1"/>
  <c r="Q68" s="1"/>
  <c r="O78" s="1"/>
  <c r="Q78" s="1"/>
  <c r="O79" s="1"/>
  <c r="Q79" s="1"/>
  <c r="O80" s="1"/>
  <c r="Q80" s="1"/>
  <c r="O81" s="1"/>
  <c r="Q81" s="1"/>
  <c r="O82" s="1"/>
  <c r="Q82" s="1"/>
  <c r="O92" s="1"/>
  <c r="Q92" s="1"/>
  <c r="O93" s="1"/>
  <c r="Q93" s="1"/>
  <c r="O94" s="1"/>
  <c r="Q94" s="1"/>
  <c r="O95" s="1"/>
  <c r="Q95" s="1"/>
  <c r="O96" s="1"/>
  <c r="Q96" s="1"/>
  <c r="O97" s="1"/>
  <c r="Q97" s="1"/>
  <c r="O98" s="1"/>
  <c r="Q98" s="1"/>
  <c r="O99" s="1"/>
  <c r="Q99" s="1"/>
  <c r="O100" s="1"/>
  <c r="Q100" s="1"/>
  <c r="O101" s="1"/>
  <c r="Q101" s="1"/>
  <c r="O102" s="1"/>
  <c r="Q102" s="1"/>
  <c r="O111" s="1"/>
  <c r="Q111" s="1"/>
  <c r="O112" s="1"/>
  <c r="Q112" s="1"/>
  <c r="O113" s="1"/>
  <c r="Q113" s="1"/>
  <c r="O114" s="1"/>
  <c r="Q114" s="1"/>
  <c r="O115" s="1"/>
  <c r="Q115" s="1"/>
  <c r="O116" s="1"/>
  <c r="Q116" s="1"/>
  <c r="O117" s="1"/>
  <c r="Q117" s="1"/>
  <c r="O118" s="1"/>
  <c r="Q118" s="1"/>
  <c r="O128" s="1"/>
  <c r="Q128" s="1"/>
  <c r="O129" s="1"/>
  <c r="Q129" s="1"/>
  <c r="O130" s="1"/>
  <c r="Q130" s="1"/>
  <c r="O139" s="1"/>
  <c r="Q139" s="1"/>
  <c r="O140" s="1"/>
  <c r="Q140" s="1"/>
  <c r="O141" s="1"/>
  <c r="Q141" s="1"/>
  <c r="O142" s="1"/>
  <c r="Q142" s="1"/>
  <c r="O143" s="1"/>
  <c r="Q143" s="1"/>
  <c r="O144" s="1"/>
  <c r="Q144" s="1"/>
  <c r="O145" s="1"/>
  <c r="Q145" s="1"/>
  <c r="O146" s="1"/>
  <c r="Q146" s="1"/>
  <c r="Z33"/>
  <c r="R33"/>
  <c r="R151" s="1"/>
  <c r="R425" s="1"/>
  <c r="Y32"/>
  <c r="U32"/>
  <c r="W32" s="1"/>
  <c r="S32"/>
  <c r="Y31"/>
  <c r="U31"/>
  <c r="W31" s="1"/>
  <c r="S31"/>
  <c r="Y30"/>
  <c r="U30"/>
  <c r="W30" s="1"/>
  <c r="S30"/>
  <c r="O30"/>
  <c r="Q30" s="1"/>
  <c r="O31" s="1"/>
  <c r="Q31" s="1"/>
  <c r="O32" s="1"/>
  <c r="Q32" s="1"/>
  <c r="Y29"/>
  <c r="Y33" s="1"/>
  <c r="Y151" s="1"/>
  <c r="Y425" s="1"/>
  <c r="H90" i="1" s="1"/>
  <c r="U29" i="2"/>
  <c r="W29" s="1"/>
  <c r="W33" s="1"/>
  <c r="W151" s="1"/>
  <c r="S29"/>
  <c r="S33" s="1"/>
  <c r="Q29"/>
  <c r="H93" i="1"/>
  <c r="L84"/>
  <c r="N83"/>
  <c r="N82"/>
  <c r="N81"/>
  <c r="L76"/>
  <c r="N75"/>
  <c r="N74"/>
  <c r="N73"/>
  <c r="N72"/>
  <c r="N71"/>
  <c r="N70"/>
  <c r="N69"/>
  <c r="N68"/>
  <c r="N67"/>
  <c r="L62"/>
  <c r="N61"/>
  <c r="N60"/>
  <c r="N59"/>
  <c r="N58"/>
  <c r="N57"/>
  <c r="N56"/>
  <c r="N55"/>
  <c r="N54"/>
  <c r="N53"/>
  <c r="L48"/>
  <c r="N46"/>
  <c r="N45"/>
  <c r="N44"/>
  <c r="N43"/>
  <c r="N42"/>
  <c r="N41"/>
  <c r="N40"/>
  <c r="N39"/>
  <c r="N38"/>
  <c r="S315" i="2" l="1"/>
  <c r="J33" i="3" s="1"/>
  <c r="N76" i="1"/>
  <c r="N48"/>
  <c r="N62"/>
  <c r="N84"/>
  <c r="L86"/>
  <c r="L47" i="3"/>
  <c r="K47"/>
  <c r="J47"/>
  <c r="I47"/>
  <c r="M47"/>
  <c r="T29" i="2"/>
  <c r="T30"/>
  <c r="V30" s="1"/>
  <c r="T31"/>
  <c r="V31" s="1"/>
  <c r="T32"/>
  <c r="V32" s="1"/>
  <c r="U33"/>
  <c r="S147"/>
  <c r="S151" s="1"/>
  <c r="V216"/>
  <c r="V217" s="1"/>
  <c r="V319" s="1"/>
  <c r="W334"/>
  <c r="W336" s="1"/>
  <c r="W344"/>
  <c r="W346" s="1"/>
  <c r="W354"/>
  <c r="W356" s="1"/>
  <c r="T334"/>
  <c r="T344"/>
  <c r="T354"/>
  <c r="S319" l="1"/>
  <c r="S425" s="1"/>
  <c r="N86" i="1"/>
  <c r="V354" i="2"/>
  <c r="V356" s="1"/>
  <c r="T356"/>
  <c r="V344"/>
  <c r="V346" s="1"/>
  <c r="T346"/>
  <c r="W420"/>
  <c r="W425" s="1"/>
  <c r="V334"/>
  <c r="V336" s="1"/>
  <c r="V420" s="1"/>
  <c r="T336"/>
  <c r="T33"/>
  <c r="V29"/>
  <c r="V33" s="1"/>
  <c r="V151" s="1"/>
  <c r="V425" l="1"/>
</calcChain>
</file>

<file path=xl/sharedStrings.xml><?xml version="1.0" encoding="utf-8"?>
<sst xmlns="http://schemas.openxmlformats.org/spreadsheetml/2006/main" count="1731" uniqueCount="275">
  <si>
    <t>COMMERCIAL INVOICE</t>
  </si>
  <si>
    <t>Consignee :</t>
  </si>
  <si>
    <t>Invoice No.</t>
  </si>
  <si>
    <t>Date</t>
  </si>
  <si>
    <t>J. CARTER SPORTING CLUB LIMITED
1 CENTRAL STREET,
MANCHESTER,
UNITED KINGDOM,, M2 5WR</t>
  </si>
  <si>
    <t>Term of Payment</t>
  </si>
  <si>
    <t>:</t>
  </si>
  <si>
    <t>LC - 180 DAYS AFTER BILL OF LADING DATE OR AIRWAY BILL DATE</t>
  </si>
  <si>
    <t>Bank Ref./LC No.</t>
  </si>
  <si>
    <t xml:space="preserve">IMP750070263 </t>
  </si>
  <si>
    <t>Date of Issue</t>
  </si>
  <si>
    <t>Notify Party :</t>
  </si>
  <si>
    <t>Issued by</t>
  </si>
  <si>
    <t xml:space="preserve">LOYDGB2LDIO  </t>
  </si>
  <si>
    <t>HBL / HAWB No.</t>
  </si>
  <si>
    <t>Shipped on Board Date</t>
  </si>
  <si>
    <t>Port of Loading :</t>
  </si>
  <si>
    <t>Port of Discharge :</t>
  </si>
  <si>
    <t>PO NO</t>
  </si>
  <si>
    <t>AMSTERDAM, NL</t>
  </si>
  <si>
    <t>EPO12508755, EPO12508757, WPO12508771,  WPO12508772</t>
  </si>
  <si>
    <t>Port of Delivery :</t>
  </si>
  <si>
    <t xml:space="preserve">Ship Mode </t>
  </si>
  <si>
    <t>AIR</t>
  </si>
  <si>
    <t>BOOKING NO</t>
  </si>
  <si>
    <t>CA25000660</t>
  </si>
  <si>
    <t>Description of Goods</t>
  </si>
  <si>
    <t>Quantity</t>
  </si>
  <si>
    <t>Unit Price</t>
  </si>
  <si>
    <t>Amount</t>
  </si>
  <si>
    <t>PIECES</t>
  </si>
  <si>
    <t>USD</t>
  </si>
  <si>
    <t>CONSIST OF :</t>
  </si>
  <si>
    <t>PO NO. : EPO12508755</t>
  </si>
  <si>
    <t>ORDER LINE</t>
  </si>
  <si>
    <t>STYLE NO</t>
  </si>
  <si>
    <t>DESCRIPTION</t>
  </si>
  <si>
    <t>HS CODE</t>
  </si>
  <si>
    <t xml:space="preserve">001  </t>
  </si>
  <si>
    <t xml:space="preserve">TI12081-010         </t>
  </si>
  <si>
    <t xml:space="preserve">FC UTRECHT PERFORMANCE KNIT SUIT                  </t>
  </si>
  <si>
    <t>003</t>
  </si>
  <si>
    <t>TJ12049-010</t>
  </si>
  <si>
    <t>FC UTRECHT PERFORMANCE KNIT SHORT- PKTS</t>
  </si>
  <si>
    <t>004</t>
  </si>
  <si>
    <t>TJ12050-010</t>
  </si>
  <si>
    <t>FC UTRECHT PERFORMANCE MIDLAYER TOP</t>
  </si>
  <si>
    <t>005</t>
  </si>
  <si>
    <t>TJ12052-010</t>
  </si>
  <si>
    <t>FC UTRECHT PERFORMANCE KNIT PANT- PKTS</t>
  </si>
  <si>
    <t>007</t>
  </si>
  <si>
    <t>TM12049-010</t>
  </si>
  <si>
    <t>008</t>
  </si>
  <si>
    <t>TM12050-010</t>
  </si>
  <si>
    <t>009</t>
  </si>
  <si>
    <t>TM12052-010</t>
  </si>
  <si>
    <t xml:space="preserve">002  </t>
  </si>
  <si>
    <t xml:space="preserve">TJ12046-072         </t>
  </si>
  <si>
    <t xml:space="preserve">FC UTRECHT PERFORMANCE SHORT SLEEVE TEE           </t>
  </si>
  <si>
    <t xml:space="preserve">006  </t>
  </si>
  <si>
    <t xml:space="preserve">TM12046-072         </t>
  </si>
  <si>
    <t>SUB TOTAL</t>
  </si>
  <si>
    <t>PO NO. : WPO12508771</t>
  </si>
  <si>
    <t>001</t>
  </si>
  <si>
    <t>TI12081-010</t>
  </si>
  <si>
    <t>FC UTRECHT PERFORMANCE KNIT SUIT</t>
  </si>
  <si>
    <t>002</t>
  </si>
  <si>
    <t>TJ12046-072</t>
  </si>
  <si>
    <t>FC UTRECHT PERFORMANCE SHORT SLEEVE TEE</t>
  </si>
  <si>
    <t>006</t>
  </si>
  <si>
    <t>TM12046-072</t>
  </si>
  <si>
    <t xml:space="preserve">3 CARTONS = 76 PIECES OF APPAREL GOODS </t>
  </si>
  <si>
    <t>PO NO. : WPO12508772</t>
  </si>
  <si>
    <t xml:space="preserve">TI12081-090         </t>
  </si>
  <si>
    <t xml:space="preserve">TJ12046-090         </t>
  </si>
  <si>
    <t xml:space="preserve">TM12046-090         </t>
  </si>
  <si>
    <t xml:space="preserve">004  </t>
  </si>
  <si>
    <t xml:space="preserve">TJ12050-090         </t>
  </si>
  <si>
    <t xml:space="preserve">FC UTRECHT PERFORMANCE MIDLAYER TOP               </t>
  </si>
  <si>
    <t xml:space="preserve">005  </t>
  </si>
  <si>
    <t xml:space="preserve">TJ12052-090         </t>
  </si>
  <si>
    <t xml:space="preserve">FC UTRECHT PERFORMANCE KNIT PANT- PKTS            </t>
  </si>
  <si>
    <t xml:space="preserve">008  </t>
  </si>
  <si>
    <t xml:space="preserve">TM12050-090         </t>
  </si>
  <si>
    <t xml:space="preserve">009  </t>
  </si>
  <si>
    <t xml:space="preserve">TM12052-090         </t>
  </si>
  <si>
    <t xml:space="preserve">003  </t>
  </si>
  <si>
    <t xml:space="preserve">TJ12049-090         </t>
  </si>
  <si>
    <t xml:space="preserve">FC UTRECHT PERFORMANCE KNIT SHORT- PKTS           </t>
  </si>
  <si>
    <t xml:space="preserve">007  </t>
  </si>
  <si>
    <t xml:space="preserve">TM12049-090         </t>
  </si>
  <si>
    <t>PO NO. : EPO12508757</t>
  </si>
  <si>
    <t>TJ12050-090</t>
  </si>
  <si>
    <t>TM12050-090</t>
  </si>
  <si>
    <t xml:space="preserve">TF12048-090         </t>
  </si>
  <si>
    <t xml:space="preserve">FC UTRECHT PERFORMANCE KNIT SHORT- WO PKTS        </t>
  </si>
  <si>
    <t>GRAND TOTAL</t>
  </si>
  <si>
    <t>Country of Origin</t>
  </si>
  <si>
    <t>INDONESIA</t>
  </si>
  <si>
    <t xml:space="preserve">Incoterms </t>
  </si>
  <si>
    <t xml:space="preserve">                              </t>
  </si>
  <si>
    <t>EORI No.</t>
  </si>
  <si>
    <t>MEAS</t>
  </si>
  <si>
    <t>CBM</t>
  </si>
  <si>
    <t>GROSS WT</t>
  </si>
  <si>
    <t>KGS</t>
  </si>
  <si>
    <t>NET WT</t>
  </si>
  <si>
    <t>PACKING</t>
  </si>
  <si>
    <t>CTNS</t>
  </si>
  <si>
    <t xml:space="preserve">SAY : </t>
  </si>
  <si>
    <t>Other Remarks &amp; Noted</t>
  </si>
  <si>
    <t>MANUFACTURER</t>
  </si>
  <si>
    <t>PT. MORICH INDO FASHION</t>
  </si>
  <si>
    <t>JL. Raya Karangjati KM 25</t>
  </si>
  <si>
    <t>SEMARANG - INDONESIA</t>
  </si>
  <si>
    <t>PHONE : (0298)523523</t>
  </si>
  <si>
    <t>FAX : (0298)522095</t>
  </si>
  <si>
    <t>TAX ID : 1.287.855.9-511.000</t>
  </si>
  <si>
    <t>POS CODE : 50552</t>
  </si>
  <si>
    <t>BANK DETAILS</t>
  </si>
  <si>
    <t>A/C NO.</t>
  </si>
  <si>
    <t>0029042494</t>
  </si>
  <si>
    <t>BANK NAME</t>
  </si>
  <si>
    <t>PT. BANK NEGARA INDONESIA (PERSERO)</t>
  </si>
  <si>
    <t>KANTOR CAB. KARANGAYU</t>
  </si>
  <si>
    <t>Authorized Signature</t>
  </si>
  <si>
    <t>SEMARANG</t>
  </si>
  <si>
    <t>SWIFT CODE</t>
  </si>
  <si>
    <t>BNINIDJAKRU</t>
  </si>
  <si>
    <t>PACKING LIST</t>
  </si>
  <si>
    <t>DATE</t>
  </si>
  <si>
    <t>J. CARTER SPORTING CLUB LIMITED
1 CENTRAL STREET,
MANCHESTER, M2 5WR
UNITED KINGDOM,</t>
  </si>
  <si>
    <t>INVOICE</t>
  </si>
  <si>
    <t>L/C NO.</t>
  </si>
  <si>
    <t>DATE OF ISSUE</t>
  </si>
  <si>
    <t>HBL / HAWB NO.</t>
  </si>
  <si>
    <t>SHIPPED ON BOARD DATE</t>
  </si>
  <si>
    <t>PORT OF DISCHARGE</t>
  </si>
  <si>
    <t>COUNTRY OF ORIGIN</t>
  </si>
  <si>
    <t>PORT OF DELIVERY</t>
  </si>
  <si>
    <t>CONTAINER / SIZE / SEAL NO.</t>
  </si>
  <si>
    <t>NAME OF VESSEL / FLIGHT</t>
  </si>
  <si>
    <t>PORT OF SHIPMENT</t>
  </si>
  <si>
    <t>MAIN MARK</t>
  </si>
  <si>
    <t>DESCRIPTION OF GOODS</t>
  </si>
  <si>
    <t>INTERNAL ID-51808115-E-COMMERCE</t>
  </si>
  <si>
    <t>PO NO. EPO12508755</t>
  </si>
  <si>
    <t>STYLE</t>
  </si>
  <si>
    <t>STYLE DESCRIPTION</t>
  </si>
  <si>
    <t>OP NO</t>
  </si>
  <si>
    <t>ORDER</t>
  </si>
  <si>
    <t>SIZE</t>
  </si>
  <si>
    <t>C/NO</t>
  </si>
  <si>
    <t>TOT</t>
  </si>
  <si>
    <t>GW</t>
  </si>
  <si>
    <t>NW</t>
  </si>
  <si>
    <t>CARTON</t>
  </si>
  <si>
    <t>POLYBAG</t>
  </si>
  <si>
    <t>LINE</t>
  </si>
  <si>
    <t>2-3Y</t>
  </si>
  <si>
    <t>3-4Y</t>
  </si>
  <si>
    <t>4-5Y</t>
  </si>
  <si>
    <t>5-6Y</t>
  </si>
  <si>
    <t>6-7Y</t>
  </si>
  <si>
    <t>CTN</t>
  </si>
  <si>
    <t>PCS</t>
  </si>
  <si>
    <t>( Kg )</t>
  </si>
  <si>
    <t>WEIGHT</t>
  </si>
  <si>
    <t>25-02175B-1</t>
  </si>
  <si>
    <t>595X289X390</t>
  </si>
  <si>
    <t>TOTAL SHIPPED</t>
  </si>
  <si>
    <t>TOTAL ORDERED</t>
  </si>
  <si>
    <t>SHORTAGE/OVER</t>
  </si>
  <si>
    <t>PERCENTAGE</t>
  </si>
  <si>
    <t>JXS</t>
  </si>
  <si>
    <t>JS</t>
  </si>
  <si>
    <t>JM</t>
  </si>
  <si>
    <t>JL</t>
  </si>
  <si>
    <t>JXL</t>
  </si>
  <si>
    <t>25-02168C-1</t>
  </si>
  <si>
    <t>25-02159C-1</t>
  </si>
  <si>
    <t>597X292X191</t>
  </si>
  <si>
    <t>25-02174C-1</t>
  </si>
  <si>
    <t>S</t>
  </si>
  <si>
    <t>M</t>
  </si>
  <si>
    <t>L</t>
  </si>
  <si>
    <t>XL</t>
  </si>
  <si>
    <t>2XL</t>
  </si>
  <si>
    <t>3XL</t>
  </si>
  <si>
    <t>4XL</t>
  </si>
  <si>
    <t>5XL</t>
  </si>
  <si>
    <t>25-02166C-1</t>
  </si>
  <si>
    <t>25-02154C-1</t>
  </si>
  <si>
    <t>25-02172C-1</t>
  </si>
  <si>
    <t>25-02151B-1</t>
  </si>
  <si>
    <t>25-02146C-1</t>
  </si>
  <si>
    <t>INTERNAL ID-51808117-E-COMMERCE</t>
  </si>
  <si>
    <t>PO NO. EPO12508757</t>
  </si>
  <si>
    <t>25-02159C-2</t>
  </si>
  <si>
    <t>25-02154C-2</t>
  </si>
  <si>
    <t>TF12048-090</t>
  </si>
  <si>
    <t>FC UTRECHT PERFORMANCE KNIT SHORT- WO PKTS</t>
  </si>
  <si>
    <t>25-02164B-1</t>
  </si>
  <si>
    <t>INTERNAL ID-51808138-WHOLESALE</t>
  </si>
  <si>
    <t>PO NO. WPO12508771</t>
  </si>
  <si>
    <t>25-02175B-2</t>
  </si>
  <si>
    <t>560X400X390</t>
  </si>
  <si>
    <t>25-02151B-3</t>
  </si>
  <si>
    <t>25-02168C-2</t>
  </si>
  <si>
    <t>25-02159C-3</t>
  </si>
  <si>
    <t>25-02174C-3</t>
  </si>
  <si>
    <t>XS</t>
  </si>
  <si>
    <t>XXL</t>
  </si>
  <si>
    <t>25-02166C-3</t>
  </si>
  <si>
    <t>25-02154C-5</t>
  </si>
  <si>
    <t>25-02172C-4</t>
  </si>
  <si>
    <t>25-02146C-5</t>
  </si>
  <si>
    <t xml:space="preserve">PO NO. WPO12508772     </t>
  </si>
  <si>
    <t>TI12081-090</t>
  </si>
  <si>
    <t>25-02175B-3</t>
  </si>
  <si>
    <t>TJ12046-090</t>
  </si>
  <si>
    <t>25-02151B-4</t>
  </si>
  <si>
    <t>TM12046-090</t>
  </si>
  <si>
    <t>25-02146C-6</t>
  </si>
  <si>
    <t>25-02159C-4</t>
  </si>
  <si>
    <t>TJ12052-090</t>
  </si>
  <si>
    <t>25-02174C-4</t>
  </si>
  <si>
    <t>25-02154C-6</t>
  </si>
  <si>
    <t>TM12052-090</t>
  </si>
  <si>
    <t>25-02172C-5</t>
  </si>
  <si>
    <t>TJ12049-090</t>
  </si>
  <si>
    <t>25-02168C-3</t>
  </si>
  <si>
    <t>TM12049-090</t>
  </si>
  <si>
    <t>25-02166C-4</t>
  </si>
  <si>
    <t>CARGO LOADING PLAN</t>
  </si>
  <si>
    <t>PACKING LIST NO.</t>
  </si>
  <si>
    <t>HAWB / HBL NO.</t>
  </si>
  <si>
    <t>PORT OF LOADING</t>
  </si>
  <si>
    <t>VESSEL / CARRIER NO.</t>
  </si>
  <si>
    <t>ON BOARD DATE</t>
  </si>
  <si>
    <t>SHIP MODE</t>
  </si>
  <si>
    <t>TRUCK / VEHICLE NO.</t>
  </si>
  <si>
    <t>BOOKING REF.</t>
  </si>
  <si>
    <t>STUFFING DATE</t>
  </si>
  <si>
    <t>FACTORY</t>
  </si>
  <si>
    <t>PO NO.</t>
  </si>
  <si>
    <t>STYLE / COL. NO.</t>
  </si>
  <si>
    <t>OP NO.</t>
  </si>
  <si>
    <t>STYLE NAME</t>
  </si>
  <si>
    <t>HTS CODE</t>
  </si>
  <si>
    <t>QTY. CTNS.</t>
  </si>
  <si>
    <t>QTY. PCS</t>
  </si>
  <si>
    <t>MIF 2</t>
  </si>
  <si>
    <t>EPO12508755</t>
  </si>
  <si>
    <t xml:space="preserve">25-02175B-1         </t>
  </si>
  <si>
    <t xml:space="preserve">25-02151B-1         </t>
  </si>
  <si>
    <t xml:space="preserve">25-02146C-1         </t>
  </si>
  <si>
    <t>WPO12508771</t>
  </si>
  <si>
    <t>WPO12508772</t>
  </si>
  <si>
    <t xml:space="preserve">25-02175B-3         </t>
  </si>
  <si>
    <t xml:space="preserve">25-02151B-4         </t>
  </si>
  <si>
    <t xml:space="preserve">25-02146C-6         </t>
  </si>
  <si>
    <t>EPO12508757</t>
  </si>
  <si>
    <t xml:space="preserve">25-02164B-1         </t>
  </si>
  <si>
    <t>TOTAL</t>
  </si>
  <si>
    <t>0654/INV/2025</t>
  </si>
  <si>
    <t>SOEKARNO HATTA, JAKARTA AIRPORT, INDONESIA</t>
  </si>
  <si>
    <t>TBA</t>
  </si>
  <si>
    <t>USD THIRTY FOUR THOUSAND EIGHT HUNDRED TWO AND CENTS NINEONLY</t>
  </si>
  <si>
    <t>FCA</t>
  </si>
  <si>
    <t>FCA SOEKARNO HATTA, JAKARTA AIRPORT, INDONESIA</t>
  </si>
  <si>
    <t>35 CARTONS = 1200 PIECES OF APPAREL GOODS</t>
  </si>
  <si>
    <t xml:space="preserve">52 CARTONS = 1,758 PIECES OF APPAREL GOODS </t>
  </si>
  <si>
    <t>20 CARTONS = 524 PIECES OF APPAREL GOODS</t>
  </si>
  <si>
    <t>116 CARTONS = 3,711 PIECES OF APPAREL GOODS</t>
  </si>
</sst>
</file>

<file path=xl/styles.xml><?xml version="1.0" encoding="utf-8"?>
<styleSheet xmlns="http://schemas.openxmlformats.org/spreadsheetml/2006/main">
  <numFmts count="11">
    <numFmt numFmtId="164" formatCode="mmm\ d&quot;, &quot;yy"/>
    <numFmt numFmtId="165" formatCode="##,##0.000"/>
    <numFmt numFmtId="166" formatCode="##,##0"/>
    <numFmt numFmtId="167" formatCode="m/d/yyyy;@"/>
    <numFmt numFmtId="168" formatCode="[$-409]d\-mmm\-yy;@"/>
    <numFmt numFmtId="169" formatCode="mm/dd/yy;@"/>
    <numFmt numFmtId="170" formatCode="0.000"/>
    <numFmt numFmtId="171" formatCode="#,##0.0"/>
    <numFmt numFmtId="172" formatCode="#,##0.0000"/>
    <numFmt numFmtId="173" formatCode="mm/dd/yyyy"/>
    <numFmt numFmtId="174" formatCode="[$-409]dd\-mmm\-yy;@"/>
  </numFmts>
  <fonts count="14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4"/>
      <color theme="1"/>
      <name val="Arial Narrow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/>
      <sz val="12"/>
      <color theme="1"/>
      <name val="Arial Narrow"/>
      <family val="2"/>
      <charset val="1"/>
    </font>
    <font>
      <sz val="8"/>
      <color theme="1"/>
      <name val="Arial Narrow"/>
      <family val="2"/>
      <charset val="1"/>
    </font>
    <font>
      <b/>
      <sz val="14"/>
      <color theme="1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9D9D9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36">
    <xf numFmtId="0" fontId="0" fillId="0" borderId="0" xfId="0"/>
    <xf numFmtId="0" fontId="1" fillId="0" borderId="0" xfId="1" applyFont="1"/>
    <xf numFmtId="0" fontId="1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2" xfId="1" applyFont="1" applyBorder="1"/>
    <xf numFmtId="0" fontId="3" fillId="0" borderId="3" xfId="1" applyFont="1" applyBorder="1"/>
    <xf numFmtId="0" fontId="1" fillId="0" borderId="3" xfId="1" applyFont="1" applyBorder="1"/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3" fillId="0" borderId="3" xfId="1" applyFont="1" applyBorder="1" applyAlignment="1">
      <alignment horizontal="left"/>
    </xf>
    <xf numFmtId="0" fontId="1" fillId="0" borderId="4" xfId="1" applyFont="1" applyBorder="1"/>
    <xf numFmtId="0" fontId="1" fillId="0" borderId="5" xfId="1" applyFont="1" applyBorder="1"/>
    <xf numFmtId="0" fontId="3" fillId="0" borderId="0" xfId="1" applyFont="1" applyAlignment="1">
      <alignment horizontal="left"/>
    </xf>
    <xf numFmtId="0" fontId="1" fillId="0" borderId="7" xfId="1" applyFont="1" applyBorder="1"/>
    <xf numFmtId="0" fontId="3" fillId="0" borderId="1" xfId="1" applyFont="1" applyBorder="1" applyAlignment="1">
      <alignment horizontal="left"/>
    </xf>
    <xf numFmtId="164" fontId="3" fillId="0" borderId="1" xfId="1" applyNumberFormat="1" applyFont="1" applyBorder="1" applyAlignment="1">
      <alignment horizontal="left"/>
    </xf>
    <xf numFmtId="0" fontId="1" fillId="0" borderId="1" xfId="1" applyFont="1" applyBorder="1" applyAlignment="1">
      <alignment horizontal="center"/>
    </xf>
    <xf numFmtId="0" fontId="1" fillId="0" borderId="6" xfId="1" applyFont="1" applyBorder="1" applyAlignment="1">
      <alignment horizontal="center"/>
    </xf>
    <xf numFmtId="0" fontId="3" fillId="0" borderId="0" xfId="1" applyFont="1"/>
    <xf numFmtId="0" fontId="1" fillId="0" borderId="8" xfId="1" applyFont="1" applyBorder="1" applyAlignment="1">
      <alignment horizontal="center"/>
    </xf>
    <xf numFmtId="0" fontId="1" fillId="0" borderId="11" xfId="1" applyFont="1" applyBorder="1"/>
    <xf numFmtId="0" fontId="3" fillId="0" borderId="12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14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2" borderId="0" xfId="1" applyFont="1" applyFill="1"/>
    <xf numFmtId="0" fontId="4" fillId="2" borderId="0" xfId="1" applyFont="1" applyFill="1" applyAlignment="1">
      <alignment horizontal="center"/>
    </xf>
    <xf numFmtId="3" fontId="1" fillId="0" borderId="0" xfId="1" applyNumberFormat="1" applyFont="1"/>
    <xf numFmtId="4" fontId="1" fillId="0" borderId="0" xfId="1" applyNumberFormat="1" applyFont="1"/>
    <xf numFmtId="0" fontId="6" fillId="0" borderId="0" xfId="1" applyFont="1"/>
    <xf numFmtId="3" fontId="6" fillId="0" borderId="0" xfId="1" applyNumberFormat="1" applyFont="1"/>
    <xf numFmtId="4" fontId="6" fillId="0" borderId="0" xfId="1" applyNumberFormat="1" applyFont="1"/>
    <xf numFmtId="0" fontId="0" fillId="0" borderId="0" xfId="0" applyFont="1"/>
    <xf numFmtId="3" fontId="3" fillId="0" borderId="3" xfId="1" applyNumberFormat="1" applyFont="1" applyBorder="1"/>
    <xf numFmtId="4" fontId="3" fillId="0" borderId="3" xfId="1" applyNumberFormat="1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4" fontId="4" fillId="0" borderId="3" xfId="0" applyNumberFormat="1" applyFont="1" applyBorder="1"/>
    <xf numFmtId="3" fontId="4" fillId="0" borderId="0" xfId="0" applyNumberFormat="1" applyFont="1"/>
    <xf numFmtId="165" fontId="3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right"/>
    </xf>
    <xf numFmtId="0" fontId="3" fillId="0" borderId="0" xfId="1" applyFont="1" applyAlignment="1">
      <alignment horizontal="right"/>
    </xf>
    <xf numFmtId="0" fontId="1" fillId="0" borderId="0" xfId="1" applyFont="1" applyAlignment="1">
      <alignment vertical="top"/>
    </xf>
    <xf numFmtId="0" fontId="1" fillId="0" borderId="0" xfId="1" applyFont="1"/>
    <xf numFmtId="0" fontId="0" fillId="0" borderId="0" xfId="0"/>
    <xf numFmtId="0" fontId="7" fillId="0" borderId="0" xfId="1" applyFont="1"/>
    <xf numFmtId="0" fontId="8" fillId="0" borderId="0" xfId="1" applyFont="1"/>
    <xf numFmtId="0" fontId="3" fillId="0" borderId="2" xfId="1" applyFont="1" applyBorder="1"/>
    <xf numFmtId="0" fontId="1" fillId="0" borderId="4" xfId="1" applyFont="1" applyBorder="1"/>
    <xf numFmtId="0" fontId="3" fillId="0" borderId="3" xfId="1" applyFont="1" applyBorder="1"/>
    <xf numFmtId="0" fontId="1" fillId="0" borderId="3" xfId="1" applyFont="1" applyBorder="1"/>
    <xf numFmtId="0" fontId="1" fillId="0" borderId="3" xfId="1" applyFont="1" applyBorder="1" applyAlignment="1">
      <alignment horizontal="right"/>
    </xf>
    <xf numFmtId="167" fontId="1" fillId="0" borderId="3" xfId="1" applyNumberFormat="1" applyFont="1" applyBorder="1" applyAlignment="1">
      <alignment horizontal="left"/>
    </xf>
    <xf numFmtId="0" fontId="3" fillId="0" borderId="0" xfId="1" applyFont="1"/>
    <xf numFmtId="0" fontId="1" fillId="0" borderId="0" xfId="1" applyFont="1" applyAlignment="1">
      <alignment horizontal="right"/>
    </xf>
    <xf numFmtId="0" fontId="1" fillId="0" borderId="8" xfId="1" applyFont="1" applyBorder="1"/>
    <xf numFmtId="0" fontId="1" fillId="0" borderId="0" xfId="1" applyFont="1" applyAlignment="1">
      <alignment horizontal="left"/>
    </xf>
    <xf numFmtId="169" fontId="1" fillId="0" borderId="0" xfId="1" applyNumberFormat="1" applyFont="1" applyAlignment="1">
      <alignment horizontal="left"/>
    </xf>
    <xf numFmtId="167" fontId="1" fillId="0" borderId="0" xfId="1" applyNumberFormat="1" applyFont="1" applyAlignment="1">
      <alignment horizontal="left"/>
    </xf>
    <xf numFmtId="0" fontId="3" fillId="0" borderId="11" xfId="1" applyFont="1" applyBorder="1"/>
    <xf numFmtId="0" fontId="1" fillId="0" borderId="12" xfId="1" applyFont="1" applyBorder="1"/>
    <xf numFmtId="0" fontId="3" fillId="0" borderId="12" xfId="1" applyFont="1" applyBorder="1"/>
    <xf numFmtId="0" fontId="1" fillId="0" borderId="13" xfId="1" applyFont="1" applyBorder="1"/>
    <xf numFmtId="0" fontId="3" fillId="0" borderId="7" xfId="1" applyFont="1" applyBorder="1"/>
    <xf numFmtId="0" fontId="1" fillId="0" borderId="1" xfId="1" applyFont="1" applyBorder="1"/>
    <xf numFmtId="0" fontId="3" fillId="0" borderId="1" xfId="1" applyFont="1" applyBorder="1"/>
    <xf numFmtId="0" fontId="1" fillId="0" borderId="6" xfId="1" applyFont="1" applyBorder="1"/>
    <xf numFmtId="0" fontId="4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4" fillId="0" borderId="1" xfId="1" applyFont="1" applyBorder="1" applyAlignment="1">
      <alignment vertical="top"/>
    </xf>
    <xf numFmtId="0" fontId="6" fillId="0" borderId="1" xfId="1" applyFont="1" applyBorder="1" applyAlignment="1">
      <alignment vertical="top"/>
    </xf>
    <xf numFmtId="0" fontId="3" fillId="0" borderId="15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1" fillId="0" borderId="14" xfId="1" applyFont="1" applyBorder="1" applyAlignment="1">
      <alignment horizontal="center"/>
    </xf>
    <xf numFmtId="170" fontId="1" fillId="0" borderId="14" xfId="1" applyNumberFormat="1" applyFont="1" applyBorder="1" applyAlignment="1">
      <alignment horizontal="center"/>
    </xf>
    <xf numFmtId="0" fontId="1" fillId="0" borderId="14" xfId="1" applyFont="1" applyBorder="1"/>
    <xf numFmtId="3" fontId="3" fillId="0" borderId="14" xfId="1" applyNumberFormat="1" applyFont="1" applyBorder="1" applyAlignment="1">
      <alignment horizontal="center"/>
    </xf>
    <xf numFmtId="3" fontId="1" fillId="0" borderId="14" xfId="1" applyNumberFormat="1" applyFont="1" applyBorder="1"/>
    <xf numFmtId="0" fontId="4" fillId="0" borderId="15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6" fillId="0" borderId="0" xfId="1" applyFont="1"/>
    <xf numFmtId="0" fontId="4" fillId="0" borderId="10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170" fontId="6" fillId="0" borderId="14" xfId="1" applyNumberFormat="1" applyFont="1" applyBorder="1" applyAlignment="1">
      <alignment horizontal="center"/>
    </xf>
    <xf numFmtId="0" fontId="6" fillId="0" borderId="14" xfId="1" applyFont="1" applyBorder="1"/>
    <xf numFmtId="3" fontId="4" fillId="0" borderId="14" xfId="1" applyNumberFormat="1" applyFont="1" applyBorder="1" applyAlignment="1">
      <alignment horizontal="center"/>
    </xf>
    <xf numFmtId="3" fontId="6" fillId="0" borderId="14" xfId="1" applyNumberFormat="1" applyFont="1" applyBorder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14" xfId="0" applyBorder="1"/>
    <xf numFmtId="0" fontId="3" fillId="0" borderId="14" xfId="0" applyFont="1" applyBorder="1"/>
    <xf numFmtId="3" fontId="3" fillId="0" borderId="14" xfId="0" applyNumberFormat="1" applyFont="1" applyBorder="1" applyAlignment="1">
      <alignment horizontal="center"/>
    </xf>
    <xf numFmtId="3" fontId="0" fillId="0" borderId="14" xfId="0" applyNumberFormat="1" applyBorder="1"/>
    <xf numFmtId="4" fontId="3" fillId="0" borderId="14" xfId="0" applyNumberFormat="1" applyFont="1" applyBorder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70" fontId="0" fillId="0" borderId="14" xfId="0" applyNumberFormat="1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4" fontId="3" fillId="0" borderId="14" xfId="0" applyNumberFormat="1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171" fontId="3" fillId="0" borderId="14" xfId="0" applyNumberFormat="1" applyFont="1" applyBorder="1" applyAlignment="1">
      <alignment horizontal="center"/>
    </xf>
    <xf numFmtId="0" fontId="1" fillId="0" borderId="0" xfId="1" applyFont="1" applyAlignment="1">
      <alignment horizontal="left"/>
    </xf>
    <xf numFmtId="3" fontId="1" fillId="0" borderId="0" xfId="1" applyNumberFormat="1" applyFont="1" applyAlignment="1">
      <alignment horizontal="right"/>
    </xf>
    <xf numFmtId="4" fontId="1" fillId="0" borderId="0" xfId="1" applyNumberFormat="1" applyFont="1" applyAlignment="1">
      <alignment horizontal="right"/>
    </xf>
    <xf numFmtId="172" fontId="1" fillId="0" borderId="0" xfId="1" applyNumberFormat="1" applyFont="1" applyAlignment="1">
      <alignment horizontal="right"/>
    </xf>
    <xf numFmtId="0" fontId="9" fillId="0" borderId="0" xfId="1" applyFont="1" applyAlignment="1">
      <alignment horizontal="left"/>
    </xf>
    <xf numFmtId="49" fontId="1" fillId="0" borderId="0" xfId="1" applyNumberFormat="1" applyFont="1" applyAlignment="1">
      <alignment horizontal="left"/>
    </xf>
    <xf numFmtId="173" fontId="1" fillId="0" borderId="0" xfId="1" applyNumberFormat="1" applyFont="1" applyAlignment="1">
      <alignment horizontal="left"/>
    </xf>
    <xf numFmtId="0" fontId="3" fillId="3" borderId="14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 wrapText="1"/>
    </xf>
    <xf numFmtId="3" fontId="3" fillId="3" borderId="14" xfId="1" applyNumberFormat="1" applyFont="1" applyFill="1" applyBorder="1" applyAlignment="1">
      <alignment horizontal="center" vertical="center" wrapText="1"/>
    </xf>
    <xf numFmtId="4" fontId="3" fillId="3" borderId="14" xfId="1" applyNumberFormat="1" applyFont="1" applyFill="1" applyBorder="1" applyAlignment="1">
      <alignment horizontal="center" vertical="center"/>
    </xf>
    <xf numFmtId="172" fontId="3" fillId="3" borderId="14" xfId="1" applyNumberFormat="1" applyFont="1" applyFill="1" applyBorder="1" applyAlignment="1">
      <alignment horizontal="center" vertical="center"/>
    </xf>
    <xf numFmtId="0" fontId="0" fillId="0" borderId="0" xfId="0" applyFont="1"/>
    <xf numFmtId="3" fontId="3" fillId="0" borderId="0" xfId="1" applyNumberFormat="1" applyFont="1" applyAlignment="1">
      <alignment horizontal="right"/>
    </xf>
    <xf numFmtId="4" fontId="3" fillId="0" borderId="0" xfId="1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/>
    <xf numFmtId="3" fontId="5" fillId="0" borderId="0" xfId="1" applyNumberFormat="1" applyFont="1" applyAlignment="1">
      <alignment horizontal="right"/>
    </xf>
    <xf numFmtId="4" fontId="5" fillId="0" borderId="0" xfId="1" applyNumberFormat="1" applyFont="1" applyAlignment="1">
      <alignment horizontal="right"/>
    </xf>
    <xf numFmtId="172" fontId="5" fillId="0" borderId="0" xfId="1" applyNumberFormat="1" applyFont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3" fontId="10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172" fontId="10" fillId="0" borderId="0" xfId="0" applyNumberFormat="1" applyFont="1" applyAlignment="1">
      <alignment horizontal="right"/>
    </xf>
    <xf numFmtId="4" fontId="11" fillId="0" borderId="0" xfId="1" applyNumberFormat="1" applyFont="1"/>
    <xf numFmtId="3" fontId="5" fillId="0" borderId="0" xfId="1" applyNumberFormat="1" applyFont="1"/>
    <xf numFmtId="4" fontId="5" fillId="0" borderId="0" xfId="1" applyNumberFormat="1" applyFont="1"/>
    <xf numFmtId="0" fontId="12" fillId="0" borderId="0" xfId="1" applyFont="1"/>
    <xf numFmtId="0" fontId="12" fillId="0" borderId="0" xfId="1" applyFont="1" applyAlignment="1">
      <alignment horizontal="center"/>
    </xf>
    <xf numFmtId="3" fontId="12" fillId="0" borderId="3" xfId="1" applyNumberFormat="1" applyFont="1" applyBorder="1"/>
    <xf numFmtId="4" fontId="12" fillId="0" borderId="3" xfId="1" applyNumberFormat="1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3" fontId="13" fillId="0" borderId="3" xfId="0" applyNumberFormat="1" applyFont="1" applyBorder="1"/>
    <xf numFmtId="4" fontId="13" fillId="0" borderId="3" xfId="0" applyNumberFormat="1" applyFont="1" applyBorder="1"/>
    <xf numFmtId="3" fontId="12" fillId="0" borderId="3" xfId="0" applyNumberFormat="1" applyFont="1" applyBorder="1"/>
    <xf numFmtId="4" fontId="12" fillId="0" borderId="3" xfId="0" applyNumberFormat="1" applyFont="1" applyBorder="1"/>
    <xf numFmtId="3" fontId="10" fillId="0" borderId="0" xfId="0" applyNumberFormat="1" applyFont="1"/>
    <xf numFmtId="4" fontId="10" fillId="0" borderId="0" xfId="0" applyNumberFormat="1" applyFont="1"/>
    <xf numFmtId="3" fontId="10" fillId="0" borderId="1" xfId="0" applyNumberFormat="1" applyFont="1" applyBorder="1"/>
    <xf numFmtId="0" fontId="3" fillId="0" borderId="12" xfId="1" applyFont="1" applyBorder="1" applyAlignment="1">
      <alignment horizontal="center" vertical="center"/>
    </xf>
    <xf numFmtId="0" fontId="1" fillId="0" borderId="0" xfId="1" applyFont="1" applyBorder="1" applyAlignment="1">
      <alignment vertical="top" wrapText="1"/>
    </xf>
    <xf numFmtId="0" fontId="1" fillId="0" borderId="0" xfId="1" applyFont="1" applyBorder="1" applyAlignment="1">
      <alignment wrapText="1"/>
    </xf>
    <xf numFmtId="0" fontId="1" fillId="0" borderId="3" xfId="1" applyFont="1" applyBorder="1" applyAlignment="1">
      <alignment horizontal="center"/>
    </xf>
    <xf numFmtId="0" fontId="0" fillId="0" borderId="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" fillId="0" borderId="0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left"/>
    </xf>
    <xf numFmtId="0" fontId="5" fillId="0" borderId="10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/>
    </xf>
    <xf numFmtId="0" fontId="1" fillId="0" borderId="7" xfId="1" applyFont="1" applyBorder="1" applyAlignment="1">
      <alignment horizontal="left"/>
    </xf>
    <xf numFmtId="164" fontId="1" fillId="0" borderId="6" xfId="1" applyNumberFormat="1" applyFont="1" applyBorder="1" applyAlignment="1">
      <alignment horizontal="left"/>
    </xf>
    <xf numFmtId="0" fontId="4" fillId="0" borderId="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14" xfId="0" applyFont="1" applyBorder="1"/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 vertical="center" wrapText="1"/>
    </xf>
    <xf numFmtId="0" fontId="4" fillId="0" borderId="14" xfId="0" applyFont="1" applyBorder="1"/>
    <xf numFmtId="0" fontId="0" fillId="0" borderId="1" xfId="0" applyBorder="1"/>
    <xf numFmtId="0" fontId="0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0" fillId="0" borderId="12" xfId="0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6" fillId="0" borderId="1" xfId="1" applyFont="1" applyBorder="1"/>
    <xf numFmtId="0" fontId="6" fillId="0" borderId="3" xfId="1" applyFont="1" applyBorder="1" applyAlignment="1">
      <alignment horizontal="center"/>
    </xf>
    <xf numFmtId="0" fontId="4" fillId="0" borderId="14" xfId="1" applyFont="1" applyBorder="1"/>
    <xf numFmtId="0" fontId="4" fillId="0" borderId="14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/>
    </xf>
    <xf numFmtId="0" fontId="4" fillId="0" borderId="11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 wrapText="1"/>
    </xf>
    <xf numFmtId="0" fontId="3" fillId="0" borderId="14" xfId="1" applyFont="1" applyBorder="1"/>
    <xf numFmtId="0" fontId="6" fillId="0" borderId="12" xfId="1" applyFont="1" applyBorder="1" applyAlignment="1">
      <alignment horizontal="left" vertical="top" wrapText="1"/>
    </xf>
    <xf numFmtId="0" fontId="6" fillId="0" borderId="3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/>
    </xf>
    <xf numFmtId="0" fontId="1" fillId="0" borderId="14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/>
    </xf>
    <xf numFmtId="174" fontId="1" fillId="0" borderId="3" xfId="1" applyNumberFormat="1" applyFont="1" applyBorder="1" applyAlignment="1">
      <alignment horizontal="left"/>
    </xf>
    <xf numFmtId="0" fontId="1" fillId="0" borderId="10" xfId="0" applyFont="1" applyBorder="1" applyAlignment="1">
      <alignment horizontal="left" vertical="top" wrapText="1"/>
    </xf>
    <xf numFmtId="0" fontId="1" fillId="0" borderId="6" xfId="1" applyFont="1" applyBorder="1" applyAlignment="1">
      <alignment horizontal="left" vertical="top" wrapText="1"/>
    </xf>
    <xf numFmtId="0" fontId="1" fillId="0" borderId="0" xfId="1" applyFont="1" applyBorder="1" applyAlignment="1">
      <alignment horizontal="left"/>
    </xf>
    <xf numFmtId="168" fontId="1" fillId="0" borderId="0" xfId="1" applyNumberFormat="1" applyFont="1" applyBorder="1" applyAlignment="1">
      <alignment horizontal="left"/>
    </xf>
    <xf numFmtId="167" fontId="1" fillId="0" borderId="0" xfId="1" applyNumberFormat="1" applyFont="1" applyBorder="1" applyAlignment="1">
      <alignment horizontal="left"/>
    </xf>
    <xf numFmtId="0" fontId="3" fillId="3" borderId="14" xfId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/>
    </xf>
    <xf numFmtId="3" fontId="4" fillId="4" borderId="14" xfId="0" applyNumberFormat="1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3" fontId="3" fillId="4" borderId="14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19080</xdr:rowOff>
    </xdr:from>
    <xdr:to>
      <xdr:col>1</xdr:col>
      <xdr:colOff>710280</xdr:colOff>
      <xdr:row>3</xdr:row>
      <xdr:rowOff>151200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80"/>
          <a:ext cx="819000" cy="67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606600</xdr:colOff>
      <xdr:row>0</xdr:row>
      <xdr:rowOff>0</xdr:rowOff>
    </xdr:from>
    <xdr:to>
      <xdr:col>7</xdr:col>
      <xdr:colOff>605520</xdr:colOff>
      <xdr:row>4</xdr:row>
      <xdr:rowOff>7200</xdr:rowOff>
    </xdr:to>
    <xdr:sp macro="" textlink="">
      <xdr:nvSpPr>
        <xdr:cNvPr id="3" name="TextBox 2"/>
        <xdr:cNvSpPr/>
      </xdr:nvSpPr>
      <xdr:spPr>
        <a:xfrm>
          <a:off x="715320" y="0"/>
          <a:ext cx="3984840" cy="77040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Arial Narrow"/>
            </a:rPr>
            <a:t>PT. MORICH INDO FASHION</a:t>
          </a:r>
          <a:endParaRPr lang="en-ID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Arial Narrow"/>
            </a:rPr>
            <a:t>Jl. Raya Karangjati KM. 25 Desa Gembongan, Bergas</a:t>
          </a:r>
          <a:endParaRPr lang="en-ID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Arial Narrow"/>
            </a:rPr>
            <a:t>SEMARANG 50552 INDONESIA</a:t>
          </a:r>
          <a:endParaRPr lang="en-ID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Arial Narrow"/>
            </a:rPr>
            <a:t>Telp. 62-298-523523 Fax. 62-298-522095</a:t>
          </a:r>
          <a:endParaRPr lang="en-ID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Arial Narrow"/>
            </a:rPr>
            <a:t>Tax Id: 01.287.855.9-511.000</a:t>
          </a:r>
          <a:endParaRPr lang="en-ID" sz="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63360</xdr:rowOff>
    </xdr:from>
    <xdr:to>
      <xdr:col>0</xdr:col>
      <xdr:colOff>798870</xdr:colOff>
      <xdr:row>3</xdr:row>
      <xdr:rowOff>189360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63360"/>
          <a:ext cx="817920" cy="67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698400</xdr:colOff>
      <xdr:row>0</xdr:row>
      <xdr:rowOff>41400</xdr:rowOff>
    </xdr:from>
    <xdr:to>
      <xdr:col>4</xdr:col>
      <xdr:colOff>306720</xdr:colOff>
      <xdr:row>4</xdr:row>
      <xdr:rowOff>7200</xdr:rowOff>
    </xdr:to>
    <xdr:sp macro="" textlink="">
      <xdr:nvSpPr>
        <xdr:cNvPr id="3" name="TextBox 2"/>
        <xdr:cNvSpPr/>
      </xdr:nvSpPr>
      <xdr:spPr>
        <a:xfrm>
          <a:off x="698400" y="41400"/>
          <a:ext cx="3869280" cy="7387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1" u="none" strike="noStrike">
              <a:solidFill>
                <a:schemeClr val="dk1"/>
              </a:solidFill>
              <a:effectLst/>
              <a:uFillTx/>
              <a:latin typeface="Arial Narrow"/>
            </a:rPr>
            <a:t>PT. MORICH INDO FASHION</a:t>
          </a:r>
          <a:endParaRPr lang="en-ID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Arial Narrow"/>
            </a:rPr>
            <a:t>Jl. Raya Karangjati KM. 25 Desa Gembongan, Bergas</a:t>
          </a:r>
          <a:endParaRPr lang="en-ID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Arial Narrow"/>
            </a:rPr>
            <a:t>SEMARANG 50552 INDONESIA</a:t>
          </a:r>
          <a:endParaRPr lang="en-ID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Arial Narrow"/>
            </a:rPr>
            <a:t>Telp. 62-298-523523 Fax. 62-298-522095</a:t>
          </a:r>
          <a:endParaRPr lang="en-ID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800" b="0" u="none" strike="noStrike">
              <a:solidFill>
                <a:schemeClr val="dk1"/>
              </a:solidFill>
              <a:effectLst/>
              <a:uFillTx/>
              <a:latin typeface="Arial Narrow"/>
            </a:rPr>
            <a:t>Tax Id: 01.287.855.9-511.000</a:t>
          </a:r>
          <a:endParaRPr lang="en-ID" sz="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P1048574"/>
  <sheetViews>
    <sheetView view="pageBreakPreview" topLeftCell="A16" zoomScale="60" zoomScaleNormal="75" workbookViewId="0">
      <selection activeCell="J30" sqref="J30"/>
    </sheetView>
  </sheetViews>
  <sheetFormatPr defaultColWidth="8.7265625" defaultRowHeight="14.25" customHeight="1"/>
  <cols>
    <col min="1" max="1" width="1.54296875" style="1" customWidth="1"/>
    <col min="2" max="2" width="11.7265625" style="1" customWidth="1"/>
    <col min="3" max="3" width="12.54296875" style="1" customWidth="1"/>
    <col min="4" max="4" width="0.81640625" style="1" customWidth="1"/>
    <col min="5" max="5" width="10.81640625" style="1" customWidth="1"/>
    <col min="6" max="6" width="9.81640625" style="2" customWidth="1"/>
    <col min="7" max="7" width="10.81640625" style="2" customWidth="1"/>
    <col min="8" max="8" width="10" style="2" customWidth="1"/>
    <col min="9" max="9" width="10" style="1" customWidth="1"/>
    <col min="10" max="10" width="10.81640625" style="1" customWidth="1"/>
    <col min="11" max="11" width="0.81640625" style="1" customWidth="1"/>
    <col min="12" max="14" width="10" style="1" customWidth="1"/>
    <col min="15" max="16" width="8.7265625" style="1"/>
  </cols>
  <sheetData>
    <row r="4" spans="1:16" ht="18">
      <c r="D4" s="3"/>
      <c r="F4" s="180" t="s">
        <v>0</v>
      </c>
      <c r="G4" s="180"/>
      <c r="H4" s="180"/>
      <c r="I4" s="180"/>
      <c r="K4" s="3"/>
      <c r="L4" s="3"/>
      <c r="M4" s="3"/>
      <c r="N4" s="3"/>
      <c r="O4" s="3"/>
      <c r="P4" s="3"/>
    </row>
    <row r="5" spans="1:16" ht="14.5">
      <c r="A5" s="4"/>
      <c r="B5" s="5" t="s">
        <v>1</v>
      </c>
      <c r="C5" s="6"/>
      <c r="D5" s="6"/>
      <c r="E5" s="6"/>
      <c r="F5" s="7"/>
      <c r="G5" s="7"/>
      <c r="H5" s="8"/>
      <c r="I5" s="9" t="s">
        <v>2</v>
      </c>
      <c r="J5" s="9"/>
      <c r="K5" s="9"/>
      <c r="L5" s="9"/>
      <c r="M5" s="9" t="s">
        <v>3</v>
      </c>
      <c r="N5" s="10"/>
    </row>
    <row r="6" spans="1:16" ht="14.25" customHeight="1">
      <c r="A6" s="11"/>
      <c r="B6" s="174" t="s">
        <v>4</v>
      </c>
      <c r="C6" s="174"/>
      <c r="D6" s="174"/>
      <c r="E6" s="174"/>
      <c r="F6" s="174"/>
      <c r="G6" s="174"/>
      <c r="H6" s="174"/>
      <c r="I6" s="181" t="s">
        <v>265</v>
      </c>
      <c r="J6" s="181"/>
      <c r="K6" s="181"/>
      <c r="L6" s="181"/>
      <c r="M6" s="182">
        <v>45810</v>
      </c>
      <c r="N6" s="182"/>
    </row>
    <row r="7" spans="1:16" ht="14.25" customHeight="1">
      <c r="A7" s="11"/>
      <c r="B7" s="174"/>
      <c r="C7" s="174"/>
      <c r="D7" s="174"/>
      <c r="E7" s="174"/>
      <c r="F7" s="174"/>
      <c r="G7" s="174"/>
      <c r="H7" s="174"/>
      <c r="I7" s="12" t="s">
        <v>5</v>
      </c>
      <c r="J7" s="12"/>
      <c r="K7" s="12" t="s">
        <v>6</v>
      </c>
      <c r="L7" s="183" t="s">
        <v>7</v>
      </c>
      <c r="M7" s="183"/>
      <c r="N7" s="183"/>
    </row>
    <row r="8" spans="1:16" ht="14.5">
      <c r="A8" s="11"/>
      <c r="B8" s="174"/>
      <c r="C8" s="174"/>
      <c r="D8" s="174"/>
      <c r="E8" s="174"/>
      <c r="F8" s="174"/>
      <c r="G8" s="174"/>
      <c r="H8" s="174"/>
      <c r="I8" s="12"/>
      <c r="J8" s="12"/>
      <c r="K8" s="12"/>
      <c r="L8" s="183"/>
      <c r="M8" s="183"/>
      <c r="N8" s="183"/>
    </row>
    <row r="9" spans="1:16" ht="14.25" customHeight="1">
      <c r="A9" s="11"/>
      <c r="B9" s="174"/>
      <c r="C9" s="174"/>
      <c r="D9" s="174"/>
      <c r="E9" s="174"/>
      <c r="F9" s="174"/>
      <c r="G9" s="174"/>
      <c r="H9" s="174"/>
      <c r="I9" s="12" t="s">
        <v>8</v>
      </c>
      <c r="J9" s="12"/>
      <c r="K9" s="12" t="s">
        <v>6</v>
      </c>
      <c r="L9" s="184" t="s">
        <v>9</v>
      </c>
      <c r="M9" s="184"/>
      <c r="N9" s="184"/>
    </row>
    <row r="10" spans="1:16" ht="14.5">
      <c r="A10" s="11"/>
      <c r="B10" s="174"/>
      <c r="C10" s="174"/>
      <c r="D10" s="174"/>
      <c r="E10" s="174"/>
      <c r="F10" s="174"/>
      <c r="G10" s="174"/>
      <c r="H10" s="174"/>
      <c r="I10" s="12"/>
      <c r="J10" s="12"/>
      <c r="K10" s="12"/>
      <c r="L10" s="184"/>
      <c r="M10" s="184"/>
      <c r="N10" s="184"/>
    </row>
    <row r="11" spans="1:16" ht="14.5">
      <c r="A11" s="13"/>
      <c r="B11" s="174"/>
      <c r="C11" s="174"/>
      <c r="D11" s="174"/>
      <c r="E11" s="174"/>
      <c r="F11" s="174"/>
      <c r="G11" s="174"/>
      <c r="H11" s="174"/>
      <c r="I11" s="14" t="s">
        <v>10</v>
      </c>
      <c r="J11" s="14"/>
      <c r="K11" s="14" t="s">
        <v>6</v>
      </c>
      <c r="L11" s="15">
        <v>45225</v>
      </c>
      <c r="M11" s="16"/>
      <c r="N11" s="17"/>
    </row>
    <row r="12" spans="1:16" ht="14.5">
      <c r="A12" s="11"/>
      <c r="B12" s="18" t="s">
        <v>11</v>
      </c>
      <c r="H12" s="19"/>
      <c r="I12" s="12" t="s">
        <v>12</v>
      </c>
      <c r="J12" s="12"/>
      <c r="K12" s="12" t="s">
        <v>6</v>
      </c>
      <c r="L12" s="12"/>
      <c r="M12" s="2"/>
      <c r="N12" s="19"/>
    </row>
    <row r="13" spans="1:16" ht="14.25" customHeight="1">
      <c r="A13" s="11"/>
      <c r="B13" s="174" t="s">
        <v>4</v>
      </c>
      <c r="C13" s="174"/>
      <c r="D13" s="174"/>
      <c r="E13" s="174"/>
      <c r="F13" s="174"/>
      <c r="G13" s="174"/>
      <c r="H13" s="174"/>
      <c r="I13" s="175" t="s">
        <v>13</v>
      </c>
      <c r="J13" s="175"/>
      <c r="K13" s="175"/>
      <c r="L13" s="175"/>
      <c r="M13" s="175"/>
      <c r="N13" s="175"/>
    </row>
    <row r="14" spans="1:16" ht="14.5">
      <c r="A14" s="11"/>
      <c r="B14" s="174"/>
      <c r="C14" s="174"/>
      <c r="D14" s="174"/>
      <c r="E14" s="174"/>
      <c r="F14" s="174"/>
      <c r="G14" s="174"/>
      <c r="H14" s="174"/>
      <c r="I14" s="175"/>
      <c r="J14" s="175"/>
      <c r="K14" s="175"/>
      <c r="L14" s="175"/>
      <c r="M14" s="175"/>
      <c r="N14" s="175"/>
    </row>
    <row r="15" spans="1:16" ht="14.5">
      <c r="A15" s="11"/>
      <c r="B15" s="174"/>
      <c r="C15" s="174"/>
      <c r="D15" s="174"/>
      <c r="E15" s="174"/>
      <c r="F15" s="174"/>
      <c r="G15" s="174"/>
      <c r="H15" s="174"/>
      <c r="I15" s="175"/>
      <c r="J15" s="175"/>
      <c r="K15" s="175"/>
      <c r="L15" s="175"/>
      <c r="M15" s="175"/>
      <c r="N15" s="175"/>
    </row>
    <row r="16" spans="1:16" ht="14.5">
      <c r="A16" s="11"/>
      <c r="B16" s="174"/>
      <c r="C16" s="174"/>
      <c r="D16" s="174"/>
      <c r="E16" s="174"/>
      <c r="F16" s="174"/>
      <c r="G16" s="174"/>
      <c r="H16" s="174"/>
      <c r="I16" s="175"/>
      <c r="J16" s="175"/>
      <c r="K16" s="175"/>
      <c r="L16" s="175"/>
      <c r="M16" s="175"/>
      <c r="N16" s="175"/>
    </row>
    <row r="17" spans="1:14" ht="14.5">
      <c r="A17" s="11"/>
      <c r="B17" s="174"/>
      <c r="C17" s="174"/>
      <c r="D17" s="174"/>
      <c r="E17" s="174"/>
      <c r="F17" s="174"/>
      <c r="G17" s="174"/>
      <c r="H17" s="174"/>
      <c r="I17" s="12" t="s">
        <v>14</v>
      </c>
      <c r="J17" s="12"/>
      <c r="K17" s="12" t="s">
        <v>6</v>
      </c>
      <c r="L17" s="12"/>
      <c r="M17" s="2"/>
      <c r="N17" s="19"/>
    </row>
    <row r="18" spans="1:14" ht="14.5">
      <c r="A18" s="13"/>
      <c r="B18" s="174"/>
      <c r="C18" s="174"/>
      <c r="D18" s="174"/>
      <c r="E18" s="174"/>
      <c r="F18" s="174"/>
      <c r="G18" s="174"/>
      <c r="H18" s="174"/>
      <c r="I18" s="14" t="s">
        <v>15</v>
      </c>
      <c r="J18" s="14"/>
      <c r="K18" s="14" t="s">
        <v>6</v>
      </c>
      <c r="L18" s="14"/>
      <c r="M18" s="16"/>
      <c r="N18" s="17"/>
    </row>
    <row r="19" spans="1:14" ht="14.5">
      <c r="A19" s="11"/>
      <c r="B19" s="18" t="s">
        <v>16</v>
      </c>
      <c r="F19" s="18" t="s">
        <v>17</v>
      </c>
      <c r="H19" s="19"/>
      <c r="I19" s="12" t="s">
        <v>18</v>
      </c>
      <c r="J19" s="12"/>
      <c r="K19" s="12"/>
      <c r="L19" s="12"/>
      <c r="M19" s="2"/>
      <c r="N19" s="19"/>
    </row>
    <row r="20" spans="1:14" ht="14.25" customHeight="1">
      <c r="A20" s="11"/>
      <c r="B20" s="176" t="s">
        <v>266</v>
      </c>
      <c r="C20" s="176"/>
      <c r="D20" s="176"/>
      <c r="E20" s="176"/>
      <c r="F20" s="177" t="s">
        <v>19</v>
      </c>
      <c r="G20" s="177"/>
      <c r="H20" s="177"/>
      <c r="I20" s="178" t="s">
        <v>20</v>
      </c>
      <c r="J20" s="178"/>
      <c r="K20" s="178"/>
      <c r="L20" s="178"/>
      <c r="M20" s="178"/>
      <c r="N20" s="178"/>
    </row>
    <row r="21" spans="1:14" ht="14.5">
      <c r="A21" s="11"/>
      <c r="B21" s="176"/>
      <c r="C21" s="176"/>
      <c r="D21" s="176"/>
      <c r="E21" s="176"/>
      <c r="F21" s="18" t="s">
        <v>21</v>
      </c>
      <c r="H21" s="19"/>
      <c r="I21" s="178"/>
      <c r="J21" s="178"/>
      <c r="K21" s="178"/>
      <c r="L21" s="178"/>
      <c r="M21" s="178"/>
      <c r="N21" s="178"/>
    </row>
    <row r="22" spans="1:14" ht="14.5">
      <c r="A22" s="11"/>
      <c r="B22" s="176"/>
      <c r="C22" s="176"/>
      <c r="D22" s="176"/>
      <c r="E22" s="176"/>
      <c r="F22" s="177" t="s">
        <v>19</v>
      </c>
      <c r="G22" s="177"/>
      <c r="H22" s="177"/>
      <c r="I22" s="178"/>
      <c r="J22" s="178"/>
      <c r="K22" s="178"/>
      <c r="L22" s="178"/>
      <c r="M22" s="178"/>
      <c r="N22" s="178"/>
    </row>
    <row r="23" spans="1:14" ht="14.5">
      <c r="A23" s="11"/>
      <c r="B23" s="18" t="s">
        <v>22</v>
      </c>
      <c r="D23" s="1" t="s">
        <v>6</v>
      </c>
      <c r="E23" s="177" t="s">
        <v>23</v>
      </c>
      <c r="F23" s="177"/>
      <c r="G23" s="177"/>
      <c r="H23" s="177"/>
      <c r="I23" s="178"/>
      <c r="J23" s="178"/>
      <c r="K23" s="178"/>
      <c r="L23" s="178"/>
      <c r="M23" s="178"/>
      <c r="N23" s="178"/>
    </row>
    <row r="24" spans="1:14" ht="14.5">
      <c r="A24" s="11"/>
      <c r="B24" s="18" t="s">
        <v>24</v>
      </c>
      <c r="D24" s="1" t="s">
        <v>6</v>
      </c>
      <c r="E24" s="177" t="s">
        <v>25</v>
      </c>
      <c r="F24" s="177"/>
      <c r="G24" s="177"/>
      <c r="H24" s="177"/>
      <c r="I24" s="178"/>
      <c r="J24" s="178"/>
      <c r="K24" s="178"/>
      <c r="L24" s="178"/>
      <c r="M24" s="178"/>
      <c r="N24" s="178"/>
    </row>
    <row r="25" spans="1:14" ht="14.5">
      <c r="A25" s="11"/>
      <c r="B25" s="179"/>
      <c r="C25" s="179"/>
      <c r="D25" s="179"/>
      <c r="E25" s="179"/>
      <c r="F25" s="179"/>
      <c r="G25" s="179"/>
      <c r="H25" s="179"/>
      <c r="I25" s="178"/>
      <c r="J25" s="178"/>
      <c r="K25" s="178"/>
      <c r="L25" s="178"/>
      <c r="M25" s="178"/>
      <c r="N25" s="178"/>
    </row>
    <row r="26" spans="1:14" ht="14.5">
      <c r="A26" s="13"/>
      <c r="B26" s="179"/>
      <c r="C26" s="179"/>
      <c r="D26" s="179"/>
      <c r="E26" s="179"/>
      <c r="F26" s="179"/>
      <c r="G26" s="179"/>
      <c r="H26" s="179"/>
      <c r="I26" s="178"/>
      <c r="J26" s="178"/>
      <c r="K26" s="178"/>
      <c r="L26" s="178"/>
      <c r="M26" s="178"/>
      <c r="N26" s="178"/>
    </row>
    <row r="27" spans="1:14" ht="14.5">
      <c r="B27" s="18"/>
      <c r="I27" s="2"/>
      <c r="J27" s="2"/>
      <c r="K27" s="2"/>
      <c r="L27" s="2"/>
      <c r="M27" s="2"/>
      <c r="N27" s="2"/>
    </row>
    <row r="28" spans="1:14" ht="26.25" customHeight="1">
      <c r="A28" s="20"/>
      <c r="B28" s="170" t="s">
        <v>26</v>
      </c>
      <c r="C28" s="170"/>
      <c r="D28" s="170"/>
      <c r="E28" s="170"/>
      <c r="F28" s="170"/>
      <c r="G28" s="170"/>
      <c r="H28" s="170"/>
      <c r="I28" s="170"/>
      <c r="J28" s="21"/>
      <c r="K28" s="22"/>
      <c r="L28" s="23" t="s">
        <v>27</v>
      </c>
      <c r="M28" s="23" t="s">
        <v>28</v>
      </c>
      <c r="N28" s="24" t="s">
        <v>29</v>
      </c>
    </row>
    <row r="29" spans="1:14" ht="14.5">
      <c r="B29" s="18"/>
      <c r="C29" s="18"/>
      <c r="D29" s="18"/>
      <c r="E29" s="18"/>
      <c r="F29" s="25"/>
      <c r="G29" s="25"/>
      <c r="H29" s="25"/>
      <c r="I29" s="18"/>
      <c r="J29" s="18"/>
      <c r="K29" s="18"/>
      <c r="L29" s="25" t="s">
        <v>30</v>
      </c>
      <c r="M29" s="25" t="s">
        <v>31</v>
      </c>
      <c r="N29" s="25" t="s">
        <v>269</v>
      </c>
    </row>
    <row r="30" spans="1:14" ht="14.5">
      <c r="B30" s="18"/>
      <c r="C30" s="18"/>
      <c r="D30" s="18"/>
      <c r="E30" s="18"/>
      <c r="F30" s="25"/>
      <c r="G30" s="25"/>
      <c r="H30" s="25"/>
      <c r="I30" s="18"/>
      <c r="J30" s="18"/>
      <c r="K30" s="18"/>
      <c r="L30" s="25"/>
      <c r="M30" s="25"/>
      <c r="N30" s="25"/>
    </row>
    <row r="31" spans="1:14" ht="14.5">
      <c r="B31" s="18"/>
      <c r="C31" s="18"/>
      <c r="D31" s="18"/>
      <c r="E31" s="18"/>
      <c r="F31" s="25"/>
      <c r="G31" s="25"/>
      <c r="H31" s="25"/>
      <c r="I31" s="18"/>
      <c r="J31" s="18"/>
      <c r="K31" s="18"/>
      <c r="L31" s="18"/>
      <c r="M31" s="18"/>
      <c r="N31" s="18"/>
    </row>
    <row r="32" spans="1:14" ht="14.5">
      <c r="B32" s="56" t="s">
        <v>274</v>
      </c>
      <c r="C32" s="18"/>
      <c r="D32" s="18"/>
      <c r="E32" s="18"/>
      <c r="F32" s="25"/>
      <c r="G32" s="25"/>
      <c r="H32" s="25"/>
      <c r="I32" s="18"/>
      <c r="J32" s="18"/>
      <c r="K32" s="18"/>
      <c r="L32" s="18"/>
      <c r="M32" s="18"/>
      <c r="N32" s="18"/>
    </row>
    <row r="33" spans="1:16" ht="14.5">
      <c r="B33" s="18" t="s">
        <v>32</v>
      </c>
      <c r="C33" s="18"/>
      <c r="D33" s="18"/>
      <c r="E33" s="18"/>
      <c r="F33" s="25"/>
      <c r="G33" s="25"/>
      <c r="H33" s="25"/>
      <c r="I33" s="18"/>
      <c r="J33" s="18"/>
      <c r="K33" s="18"/>
      <c r="L33" s="18"/>
      <c r="M33" s="18"/>
      <c r="N33" s="18"/>
    </row>
    <row r="34" spans="1:16" ht="14.5">
      <c r="B34" s="18"/>
      <c r="C34" s="18"/>
      <c r="D34" s="18"/>
      <c r="E34" s="18"/>
      <c r="F34" s="25"/>
      <c r="G34" s="25"/>
      <c r="H34" s="25"/>
      <c r="I34" s="18"/>
      <c r="J34" s="18"/>
      <c r="K34" s="18"/>
      <c r="L34" s="18"/>
      <c r="M34" s="18"/>
      <c r="N34" s="18"/>
    </row>
    <row r="35" spans="1:16" ht="14.5">
      <c r="B35" s="56" t="s">
        <v>272</v>
      </c>
      <c r="C35" s="18"/>
      <c r="D35" s="18"/>
      <c r="E35" s="18"/>
      <c r="F35" s="25"/>
      <c r="G35" s="25"/>
      <c r="H35" s="25"/>
      <c r="I35" s="18"/>
      <c r="J35" s="18"/>
      <c r="K35" s="18"/>
      <c r="L35" s="18"/>
      <c r="M35" s="18"/>
      <c r="N35" s="18"/>
    </row>
    <row r="36" spans="1:16" ht="14.5">
      <c r="B36" s="18" t="s">
        <v>33</v>
      </c>
      <c r="C36" s="18"/>
      <c r="D36" s="18"/>
      <c r="E36" s="18"/>
      <c r="F36" s="25"/>
      <c r="G36" s="25"/>
      <c r="H36" s="25"/>
      <c r="I36" s="18"/>
      <c r="J36" s="18"/>
      <c r="K36" s="18"/>
      <c r="L36" s="18"/>
      <c r="M36" s="18"/>
      <c r="N36" s="18"/>
    </row>
    <row r="37" spans="1:16" ht="14.5">
      <c r="B37" s="26" t="s">
        <v>34</v>
      </c>
      <c r="C37" s="26" t="s">
        <v>35</v>
      </c>
      <c r="D37" s="26"/>
      <c r="E37" s="26" t="s">
        <v>36</v>
      </c>
      <c r="F37" s="27"/>
      <c r="G37" s="27"/>
      <c r="H37" s="27"/>
      <c r="I37" s="26"/>
      <c r="J37" s="26" t="s">
        <v>37</v>
      </c>
      <c r="K37" s="26"/>
      <c r="L37" s="26"/>
      <c r="M37" s="26"/>
      <c r="N37" s="26"/>
    </row>
    <row r="38" spans="1:16" ht="14.5">
      <c r="B38" s="1" t="s">
        <v>38</v>
      </c>
      <c r="C38" s="1" t="s">
        <v>39</v>
      </c>
      <c r="E38" s="1" t="s">
        <v>40</v>
      </c>
      <c r="J38" s="1">
        <v>61109000</v>
      </c>
      <c r="L38" s="28">
        <v>100</v>
      </c>
      <c r="M38" s="29">
        <v>15.28</v>
      </c>
      <c r="N38" s="29">
        <f>M38*L38</f>
        <v>1528</v>
      </c>
    </row>
    <row r="39" spans="1:16" ht="14.5">
      <c r="B39" s="30" t="s">
        <v>41</v>
      </c>
      <c r="C39" s="30" t="s">
        <v>42</v>
      </c>
      <c r="D39" s="30"/>
      <c r="E39" s="30" t="s">
        <v>43</v>
      </c>
      <c r="F39" s="30"/>
      <c r="G39" s="30"/>
      <c r="H39" s="30"/>
      <c r="I39" s="30"/>
      <c r="J39" s="30">
        <v>61034900</v>
      </c>
      <c r="K39" s="30"/>
      <c r="L39" s="31">
        <v>100</v>
      </c>
      <c r="M39" s="32">
        <v>6.74</v>
      </c>
      <c r="N39" s="32">
        <f t="shared" ref="N39:N46" si="0">L39*M39</f>
        <v>674</v>
      </c>
    </row>
    <row r="40" spans="1:16" ht="14.5">
      <c r="B40" s="30" t="s">
        <v>44</v>
      </c>
      <c r="C40" s="30" t="s">
        <v>45</v>
      </c>
      <c r="D40" s="30"/>
      <c r="E40" s="30" t="s">
        <v>46</v>
      </c>
      <c r="F40" s="30"/>
      <c r="G40" s="30"/>
      <c r="H40" s="30"/>
      <c r="I40" s="30"/>
      <c r="J40" s="30">
        <v>61109000</v>
      </c>
      <c r="K40" s="30"/>
      <c r="L40" s="31">
        <v>150</v>
      </c>
      <c r="M40" s="32">
        <v>11.08</v>
      </c>
      <c r="N40" s="32">
        <f t="shared" si="0"/>
        <v>1662</v>
      </c>
    </row>
    <row r="41" spans="1:16" ht="14.5">
      <c r="B41" s="30" t="s">
        <v>47</v>
      </c>
      <c r="C41" s="30" t="s">
        <v>48</v>
      </c>
      <c r="D41" s="30"/>
      <c r="E41" s="30" t="s">
        <v>49</v>
      </c>
      <c r="F41" s="30"/>
      <c r="G41" s="30"/>
      <c r="H41" s="30"/>
      <c r="I41" s="30"/>
      <c r="J41" s="30">
        <v>61034900</v>
      </c>
      <c r="K41" s="30"/>
      <c r="L41" s="31">
        <v>100</v>
      </c>
      <c r="M41" s="32">
        <v>11.92</v>
      </c>
      <c r="N41" s="32">
        <f t="shared" si="0"/>
        <v>1192</v>
      </c>
    </row>
    <row r="42" spans="1:16" ht="14.5">
      <c r="B42" s="30" t="s">
        <v>50</v>
      </c>
      <c r="C42" s="30" t="s">
        <v>51</v>
      </c>
      <c r="D42" s="30"/>
      <c r="E42" s="30" t="s">
        <v>43</v>
      </c>
      <c r="F42" s="30"/>
      <c r="G42" s="30"/>
      <c r="H42" s="30"/>
      <c r="I42" s="30"/>
      <c r="J42" s="30">
        <v>61034900</v>
      </c>
      <c r="K42" s="30"/>
      <c r="L42" s="31">
        <v>206</v>
      </c>
      <c r="M42" s="32">
        <v>7.52</v>
      </c>
      <c r="N42" s="32">
        <f t="shared" si="0"/>
        <v>1549.12</v>
      </c>
    </row>
    <row r="43" spans="1:16" ht="14.5">
      <c r="B43" s="30" t="s">
        <v>52</v>
      </c>
      <c r="C43" s="30" t="s">
        <v>53</v>
      </c>
      <c r="D43" s="30"/>
      <c r="E43" s="30" t="s">
        <v>46</v>
      </c>
      <c r="F43" s="30"/>
      <c r="G43" s="30"/>
      <c r="H43" s="30"/>
      <c r="I43" s="30"/>
      <c r="J43" s="30">
        <v>61109000</v>
      </c>
      <c r="K43" s="30"/>
      <c r="L43" s="31">
        <v>300</v>
      </c>
      <c r="M43" s="32">
        <v>12.33</v>
      </c>
      <c r="N43" s="32">
        <f t="shared" si="0"/>
        <v>3699</v>
      </c>
    </row>
    <row r="44" spans="1:16" ht="14.5">
      <c r="B44" s="30" t="s">
        <v>54</v>
      </c>
      <c r="C44" s="30" t="s">
        <v>55</v>
      </c>
      <c r="D44" s="30"/>
      <c r="E44" s="30" t="s">
        <v>49</v>
      </c>
      <c r="F44" s="30"/>
      <c r="G44" s="30"/>
      <c r="H44" s="30"/>
      <c r="I44" s="30"/>
      <c r="J44" s="30">
        <v>61034900</v>
      </c>
      <c r="K44" s="30"/>
      <c r="L44" s="31">
        <v>202</v>
      </c>
      <c r="M44" s="32">
        <v>13.27</v>
      </c>
      <c r="N44" s="32">
        <f t="shared" si="0"/>
        <v>2680.54</v>
      </c>
    </row>
    <row r="45" spans="1:16" s="146" customFormat="1" ht="14.5">
      <c r="A45" s="140"/>
      <c r="B45" s="146" t="s">
        <v>56</v>
      </c>
      <c r="C45" s="146" t="s">
        <v>57</v>
      </c>
      <c r="E45" s="146" t="s">
        <v>58</v>
      </c>
      <c r="F45" s="145"/>
      <c r="G45" s="145"/>
      <c r="H45" s="145"/>
      <c r="J45" s="84">
        <v>61099020</v>
      </c>
      <c r="L45" s="167">
        <v>200</v>
      </c>
      <c r="M45" s="168">
        <v>4.87</v>
      </c>
      <c r="N45" s="150">
        <f t="shared" si="0"/>
        <v>974</v>
      </c>
      <c r="O45" s="140"/>
      <c r="P45" s="140"/>
    </row>
    <row r="46" spans="1:16" s="146" customFormat="1" ht="14.5">
      <c r="A46" s="140"/>
      <c r="B46" s="146" t="s">
        <v>59</v>
      </c>
      <c r="C46" s="146" t="s">
        <v>60</v>
      </c>
      <c r="E46" s="146" t="s">
        <v>58</v>
      </c>
      <c r="F46" s="145"/>
      <c r="G46" s="145"/>
      <c r="H46" s="145"/>
      <c r="J46" s="84">
        <v>61099020</v>
      </c>
      <c r="L46" s="167">
        <v>400</v>
      </c>
      <c r="M46" s="168">
        <v>5.44</v>
      </c>
      <c r="N46" s="150">
        <f t="shared" si="0"/>
        <v>2176</v>
      </c>
      <c r="O46" s="140"/>
      <c r="P46" s="140"/>
    </row>
    <row r="47" spans="1:16" s="146" customFormat="1" ht="14.5">
      <c r="A47" s="140"/>
      <c r="B47" s="140"/>
      <c r="C47" s="140"/>
      <c r="D47" s="140"/>
      <c r="E47" s="140"/>
      <c r="F47" s="139"/>
      <c r="G47" s="139"/>
      <c r="H47" s="139"/>
      <c r="I47" s="140"/>
      <c r="J47" s="140"/>
      <c r="K47" s="140"/>
      <c r="L47" s="151"/>
      <c r="M47" s="152"/>
      <c r="N47" s="152"/>
      <c r="O47" s="140"/>
      <c r="P47" s="140"/>
    </row>
    <row r="48" spans="1:16" s="146" customFormat="1" ht="14.5">
      <c r="A48" s="140"/>
      <c r="B48" s="153" t="s">
        <v>61</v>
      </c>
      <c r="C48" s="153"/>
      <c r="D48" s="153"/>
      <c r="E48" s="153"/>
      <c r="F48" s="154"/>
      <c r="G48" s="154"/>
      <c r="H48" s="154"/>
      <c r="I48" s="153"/>
      <c r="J48" s="153"/>
      <c r="K48" s="153"/>
      <c r="L48" s="155">
        <f>SUM(L38:L46)</f>
        <v>1758</v>
      </c>
      <c r="M48" s="153"/>
      <c r="N48" s="156">
        <f>SUM(N38:N46)</f>
        <v>16134.66</v>
      </c>
      <c r="O48" s="140"/>
      <c r="P48" s="140"/>
    </row>
    <row r="49" spans="2:14" s="146" customFormat="1" ht="14.5">
      <c r="B49" s="157"/>
      <c r="C49" s="157"/>
      <c r="D49" s="157"/>
      <c r="E49" s="157"/>
      <c r="F49" s="158"/>
      <c r="G49" s="158"/>
      <c r="H49" s="158"/>
      <c r="I49" s="157"/>
      <c r="J49" s="157"/>
      <c r="K49" s="157"/>
      <c r="L49" s="157"/>
      <c r="M49" s="157"/>
      <c r="N49" s="157"/>
    </row>
    <row r="50" spans="2:14" s="146" customFormat="1" ht="14.5">
      <c r="B50" s="159" t="s">
        <v>271</v>
      </c>
      <c r="C50" s="159"/>
      <c r="D50" s="159"/>
      <c r="E50" s="159"/>
      <c r="F50" s="160"/>
      <c r="G50" s="160"/>
      <c r="H50" s="160"/>
      <c r="I50" s="159"/>
      <c r="J50" s="159"/>
      <c r="K50" s="159"/>
      <c r="L50" s="159"/>
      <c r="M50" s="159"/>
      <c r="N50" s="159"/>
    </row>
    <row r="51" spans="2:14" s="146" customFormat="1" ht="14.5">
      <c r="B51" s="159" t="s">
        <v>62</v>
      </c>
      <c r="C51" s="159"/>
      <c r="D51" s="159"/>
      <c r="E51" s="159"/>
      <c r="F51" s="160"/>
      <c r="G51" s="160"/>
      <c r="H51" s="160"/>
      <c r="I51" s="159"/>
      <c r="J51" s="159"/>
      <c r="K51" s="159"/>
      <c r="L51" s="159"/>
      <c r="M51" s="159"/>
      <c r="N51" s="159"/>
    </row>
    <row r="52" spans="2:14" s="146" customFormat="1" ht="14.5">
      <c r="B52" s="161" t="s">
        <v>34</v>
      </c>
      <c r="C52" s="161" t="s">
        <v>35</v>
      </c>
      <c r="D52" s="161"/>
      <c r="E52" s="161" t="s">
        <v>36</v>
      </c>
      <c r="F52" s="162"/>
      <c r="G52" s="162"/>
      <c r="H52" s="162"/>
      <c r="I52" s="161"/>
      <c r="J52" s="161" t="s">
        <v>37</v>
      </c>
      <c r="K52" s="161"/>
      <c r="L52" s="161"/>
      <c r="M52" s="161"/>
      <c r="N52" s="161"/>
    </row>
    <row r="53" spans="2:14" s="146" customFormat="1" ht="14.5">
      <c r="B53" s="146" t="s">
        <v>63</v>
      </c>
      <c r="C53" s="146" t="s">
        <v>64</v>
      </c>
      <c r="E53" s="146" t="s">
        <v>65</v>
      </c>
      <c r="J53" s="146">
        <v>61109000</v>
      </c>
      <c r="L53" s="167">
        <v>25</v>
      </c>
      <c r="M53" s="168">
        <v>15.28</v>
      </c>
      <c r="N53" s="152">
        <f>M53*L53</f>
        <v>382</v>
      </c>
    </row>
    <row r="54" spans="2:14" s="146" customFormat="1" ht="14.5">
      <c r="B54" s="146" t="s">
        <v>66</v>
      </c>
      <c r="C54" s="146" t="s">
        <v>67</v>
      </c>
      <c r="E54" s="146" t="s">
        <v>68</v>
      </c>
      <c r="J54" s="146">
        <v>61099020</v>
      </c>
      <c r="L54" s="167">
        <v>171</v>
      </c>
      <c r="M54" s="168">
        <v>4.87</v>
      </c>
      <c r="N54" s="168">
        <f t="shared" ref="N54:N61" si="1">L54*M54</f>
        <v>832.77</v>
      </c>
    </row>
    <row r="55" spans="2:14" s="146" customFormat="1" ht="14.5">
      <c r="B55" s="146" t="s">
        <v>41</v>
      </c>
      <c r="C55" s="146" t="s">
        <v>42</v>
      </c>
      <c r="E55" s="146" t="s">
        <v>43</v>
      </c>
      <c r="J55" s="146">
        <v>61034900</v>
      </c>
      <c r="L55" s="167">
        <v>141</v>
      </c>
      <c r="M55" s="168">
        <v>6.74</v>
      </c>
      <c r="N55" s="168">
        <f t="shared" si="1"/>
        <v>950.34</v>
      </c>
    </row>
    <row r="56" spans="2:14" s="146" customFormat="1" ht="14.5">
      <c r="B56" s="146" t="s">
        <v>44</v>
      </c>
      <c r="C56" s="146" t="s">
        <v>45</v>
      </c>
      <c r="E56" s="146" t="s">
        <v>46</v>
      </c>
      <c r="J56" s="146">
        <v>61109000</v>
      </c>
      <c r="L56" s="167">
        <v>126</v>
      </c>
      <c r="M56" s="168">
        <v>11.08</v>
      </c>
      <c r="N56" s="168">
        <f t="shared" si="1"/>
        <v>1396.08</v>
      </c>
    </row>
    <row r="57" spans="2:14" s="146" customFormat="1" ht="14.5">
      <c r="B57" s="146" t="s">
        <v>47</v>
      </c>
      <c r="C57" s="146" t="s">
        <v>48</v>
      </c>
      <c r="E57" s="146" t="s">
        <v>49</v>
      </c>
      <c r="J57" s="146">
        <v>61034900</v>
      </c>
      <c r="L57" s="167">
        <v>119</v>
      </c>
      <c r="M57" s="168">
        <v>11.92</v>
      </c>
      <c r="N57" s="168">
        <f t="shared" si="1"/>
        <v>1418.48</v>
      </c>
    </row>
    <row r="58" spans="2:14" s="146" customFormat="1" ht="14.5">
      <c r="B58" s="146" t="s">
        <v>50</v>
      </c>
      <c r="C58" s="146" t="s">
        <v>51</v>
      </c>
      <c r="E58" s="146" t="s">
        <v>43</v>
      </c>
      <c r="J58" s="146">
        <v>61034900</v>
      </c>
      <c r="L58" s="167">
        <v>162</v>
      </c>
      <c r="M58" s="168">
        <v>7.52</v>
      </c>
      <c r="N58" s="168">
        <f t="shared" si="1"/>
        <v>1218.24</v>
      </c>
    </row>
    <row r="59" spans="2:14" s="146" customFormat="1" ht="14.5">
      <c r="B59" s="146" t="s">
        <v>52</v>
      </c>
      <c r="C59" s="146" t="s">
        <v>53</v>
      </c>
      <c r="E59" s="146" t="s">
        <v>46</v>
      </c>
      <c r="J59" s="146">
        <v>61109000</v>
      </c>
      <c r="L59" s="167">
        <v>134</v>
      </c>
      <c r="M59" s="168">
        <v>12.33</v>
      </c>
      <c r="N59" s="168">
        <f t="shared" si="1"/>
        <v>1652.22</v>
      </c>
    </row>
    <row r="60" spans="2:14" s="146" customFormat="1" ht="14.5">
      <c r="B60" s="146" t="s">
        <v>54</v>
      </c>
      <c r="C60" s="146" t="s">
        <v>55</v>
      </c>
      <c r="E60" s="146" t="s">
        <v>49</v>
      </c>
      <c r="J60" s="146">
        <v>61034900</v>
      </c>
      <c r="L60" s="167">
        <v>124</v>
      </c>
      <c r="M60" s="168">
        <v>13.27</v>
      </c>
      <c r="N60" s="168">
        <f t="shared" si="1"/>
        <v>1645.48</v>
      </c>
    </row>
    <row r="61" spans="2:14" s="146" customFormat="1" ht="14.5">
      <c r="B61" s="146" t="s">
        <v>69</v>
      </c>
      <c r="C61" s="146" t="s">
        <v>70</v>
      </c>
      <c r="E61" s="146" t="s">
        <v>68</v>
      </c>
      <c r="J61" s="146">
        <v>61099020</v>
      </c>
      <c r="L61" s="169">
        <v>198</v>
      </c>
      <c r="M61" s="168">
        <v>5.44</v>
      </c>
      <c r="N61" s="168">
        <f t="shared" si="1"/>
        <v>1077.1200000000001</v>
      </c>
    </row>
    <row r="62" spans="2:14" s="146" customFormat="1" ht="14.5">
      <c r="B62" s="159" t="s">
        <v>61</v>
      </c>
      <c r="C62" s="159"/>
      <c r="D62" s="159"/>
      <c r="E62" s="159"/>
      <c r="F62" s="160"/>
      <c r="G62" s="160"/>
      <c r="H62" s="160"/>
      <c r="I62" s="159"/>
      <c r="J62" s="159"/>
      <c r="K62" s="159"/>
      <c r="L62" s="163">
        <f>SUM(L53:L61)</f>
        <v>1200</v>
      </c>
      <c r="M62" s="159"/>
      <c r="N62" s="164">
        <f>SUM(N53:N61)</f>
        <v>10572.730000000001</v>
      </c>
    </row>
    <row r="63" spans="2:14" s="146" customFormat="1" ht="14.5">
      <c r="B63" s="157"/>
      <c r="C63" s="157"/>
      <c r="D63" s="157"/>
      <c r="E63" s="157"/>
      <c r="F63" s="158"/>
      <c r="G63" s="158"/>
      <c r="H63" s="158"/>
      <c r="I63" s="157"/>
      <c r="J63" s="157"/>
      <c r="K63" s="157"/>
      <c r="L63" s="157"/>
      <c r="M63" s="157"/>
      <c r="N63" s="157"/>
    </row>
    <row r="64" spans="2:14" s="146" customFormat="1" ht="14.5">
      <c r="B64" s="157" t="s">
        <v>71</v>
      </c>
      <c r="C64" s="157"/>
      <c r="D64" s="157"/>
      <c r="E64" s="157"/>
      <c r="F64" s="158"/>
      <c r="G64" s="158"/>
      <c r="H64" s="158"/>
      <c r="I64" s="157"/>
      <c r="J64" s="157"/>
      <c r="K64" s="157"/>
      <c r="L64" s="157"/>
      <c r="M64" s="157"/>
      <c r="N64" s="157"/>
    </row>
    <row r="65" spans="1:16" s="146" customFormat="1" ht="14.5">
      <c r="B65" s="157" t="s">
        <v>72</v>
      </c>
      <c r="C65" s="157"/>
      <c r="D65" s="157"/>
      <c r="E65" s="157"/>
      <c r="F65" s="158"/>
      <c r="G65" s="158"/>
      <c r="H65" s="158"/>
      <c r="I65" s="157"/>
      <c r="J65" s="157"/>
      <c r="K65" s="157"/>
      <c r="L65" s="157"/>
      <c r="M65" s="157"/>
      <c r="N65" s="157"/>
    </row>
    <row r="66" spans="1:16" s="146" customFormat="1" ht="14.5">
      <c r="B66" s="161" t="s">
        <v>34</v>
      </c>
      <c r="C66" s="161" t="s">
        <v>35</v>
      </c>
      <c r="D66" s="161"/>
      <c r="E66" s="161" t="s">
        <v>36</v>
      </c>
      <c r="F66" s="162"/>
      <c r="G66" s="162"/>
      <c r="H66" s="162"/>
      <c r="I66" s="161"/>
      <c r="J66" s="161" t="s">
        <v>37</v>
      </c>
      <c r="K66" s="161"/>
      <c r="L66" s="161"/>
      <c r="M66" s="161"/>
      <c r="N66" s="161"/>
    </row>
    <row r="67" spans="1:16" s="146" customFormat="1" ht="14.5">
      <c r="B67" s="146" t="s">
        <v>38</v>
      </c>
      <c r="C67" s="146" t="s">
        <v>73</v>
      </c>
      <c r="E67" s="146" t="s">
        <v>40</v>
      </c>
      <c r="F67" s="145"/>
      <c r="G67" s="145"/>
      <c r="H67" s="145"/>
      <c r="J67" s="146">
        <v>61109000</v>
      </c>
      <c r="L67" s="167">
        <v>25</v>
      </c>
      <c r="M67" s="168">
        <v>15.25</v>
      </c>
      <c r="N67" s="152">
        <f>M67*L67</f>
        <v>381.25</v>
      </c>
    </row>
    <row r="68" spans="1:16" s="146" customFormat="1" ht="14.5">
      <c r="B68" s="146" t="s">
        <v>56</v>
      </c>
      <c r="C68" s="146" t="s">
        <v>74</v>
      </c>
      <c r="E68" s="146" t="s">
        <v>58</v>
      </c>
      <c r="F68" s="145"/>
      <c r="G68" s="145"/>
      <c r="H68" s="145"/>
      <c r="J68" s="146">
        <v>61099020</v>
      </c>
      <c r="L68" s="167">
        <v>25</v>
      </c>
      <c r="M68" s="168">
        <v>4.88</v>
      </c>
      <c r="N68" s="152">
        <f>M68*L68</f>
        <v>122</v>
      </c>
    </row>
    <row r="69" spans="1:16" s="146" customFormat="1" ht="14.5">
      <c r="B69" s="146" t="s">
        <v>59</v>
      </c>
      <c r="C69" s="146" t="s">
        <v>75</v>
      </c>
      <c r="E69" s="146" t="s">
        <v>58</v>
      </c>
      <c r="F69" s="145"/>
      <c r="G69" s="145"/>
      <c r="H69" s="145"/>
      <c r="J69" s="146">
        <v>61099020</v>
      </c>
      <c r="L69" s="167">
        <v>26</v>
      </c>
      <c r="M69" s="168">
        <v>5.47</v>
      </c>
      <c r="N69" s="152">
        <f>M69*L69</f>
        <v>142.22</v>
      </c>
    </row>
    <row r="70" spans="1:16" s="146" customFormat="1" ht="14.5">
      <c r="B70" s="146" t="s">
        <v>76</v>
      </c>
      <c r="C70" s="146" t="s">
        <v>77</v>
      </c>
      <c r="E70" s="146" t="s">
        <v>78</v>
      </c>
      <c r="F70" s="145"/>
      <c r="G70" s="145"/>
      <c r="H70" s="145"/>
      <c r="J70" s="146">
        <v>61109000</v>
      </c>
      <c r="L70" s="167">
        <v>25</v>
      </c>
      <c r="M70" s="168">
        <v>11.09</v>
      </c>
      <c r="N70" s="168">
        <f t="shared" ref="N70:N75" si="2">L70*M70</f>
        <v>277.25</v>
      </c>
    </row>
    <row r="71" spans="1:16" s="146" customFormat="1" ht="14.5">
      <c r="B71" s="146" t="s">
        <v>79</v>
      </c>
      <c r="C71" s="146" t="s">
        <v>80</v>
      </c>
      <c r="E71" s="146" t="s">
        <v>81</v>
      </c>
      <c r="F71" s="145"/>
      <c r="G71" s="145"/>
      <c r="H71" s="145"/>
      <c r="J71" s="146">
        <v>61034900</v>
      </c>
      <c r="L71" s="167">
        <v>25</v>
      </c>
      <c r="M71" s="168">
        <v>11.92</v>
      </c>
      <c r="N71" s="168">
        <f t="shared" si="2"/>
        <v>298</v>
      </c>
    </row>
    <row r="72" spans="1:16" s="146" customFormat="1" ht="14.5">
      <c r="B72" s="146" t="s">
        <v>82</v>
      </c>
      <c r="C72" s="146" t="s">
        <v>83</v>
      </c>
      <c r="E72" s="146" t="s">
        <v>78</v>
      </c>
      <c r="F72" s="145"/>
      <c r="G72" s="145"/>
      <c r="H72" s="145"/>
      <c r="J72" s="146">
        <v>61109000</v>
      </c>
      <c r="L72" s="167">
        <v>26</v>
      </c>
      <c r="M72" s="168">
        <v>12.36</v>
      </c>
      <c r="N72" s="168">
        <f t="shared" si="2"/>
        <v>321.36</v>
      </c>
    </row>
    <row r="73" spans="1:16" s="146" customFormat="1" ht="14.5">
      <c r="B73" s="146" t="s">
        <v>84</v>
      </c>
      <c r="C73" s="146" t="s">
        <v>85</v>
      </c>
      <c r="E73" s="146" t="s">
        <v>81</v>
      </c>
      <c r="F73" s="145"/>
      <c r="G73" s="145"/>
      <c r="H73" s="145"/>
      <c r="J73" s="146">
        <v>61034900</v>
      </c>
      <c r="L73" s="167">
        <v>26</v>
      </c>
      <c r="M73" s="168">
        <v>13.3</v>
      </c>
      <c r="N73" s="168">
        <f t="shared" si="2"/>
        <v>345.8</v>
      </c>
    </row>
    <row r="74" spans="1:16" s="146" customFormat="1" ht="14.5">
      <c r="B74" s="146" t="s">
        <v>86</v>
      </c>
      <c r="C74" s="146" t="s">
        <v>87</v>
      </c>
      <c r="E74" s="146" t="s">
        <v>88</v>
      </c>
      <c r="F74" s="145"/>
      <c r="G74" s="145"/>
      <c r="H74" s="145"/>
      <c r="J74" s="146">
        <v>61034900</v>
      </c>
      <c r="L74" s="167">
        <v>25</v>
      </c>
      <c r="M74" s="168">
        <v>6.76</v>
      </c>
      <c r="N74" s="168">
        <f t="shared" si="2"/>
        <v>169</v>
      </c>
    </row>
    <row r="75" spans="1:16" s="146" customFormat="1" ht="14.5">
      <c r="B75" s="146" t="s">
        <v>89</v>
      </c>
      <c r="C75" s="146" t="s">
        <v>90</v>
      </c>
      <c r="E75" s="146" t="s">
        <v>88</v>
      </c>
      <c r="F75" s="145"/>
      <c r="G75" s="145"/>
      <c r="H75" s="145"/>
      <c r="J75" s="146">
        <v>61034900</v>
      </c>
      <c r="L75" s="169">
        <v>26</v>
      </c>
      <c r="M75" s="168">
        <v>7.55</v>
      </c>
      <c r="N75" s="168">
        <f t="shared" si="2"/>
        <v>196.29999999999998</v>
      </c>
    </row>
    <row r="76" spans="1:16" s="146" customFormat="1" ht="14.5">
      <c r="B76" s="157" t="s">
        <v>61</v>
      </c>
      <c r="C76" s="157"/>
      <c r="D76" s="157"/>
      <c r="E76" s="157"/>
      <c r="F76" s="158"/>
      <c r="G76" s="158"/>
      <c r="H76" s="158"/>
      <c r="I76" s="157"/>
      <c r="J76" s="157"/>
      <c r="K76" s="157"/>
      <c r="L76" s="165">
        <f>SUM(L67:L75)</f>
        <v>229</v>
      </c>
      <c r="M76" s="157"/>
      <c r="N76" s="166">
        <f>SUM(N67:N75)</f>
        <v>2253.1800000000003</v>
      </c>
    </row>
    <row r="77" spans="1:16" s="146" customFormat="1" ht="14.25" customHeight="1">
      <c r="A77" s="140"/>
      <c r="B77" s="140"/>
      <c r="C77" s="140"/>
      <c r="D77" s="140"/>
      <c r="E77" s="140"/>
      <c r="F77" s="139"/>
      <c r="G77" s="139"/>
      <c r="H77" s="139"/>
      <c r="I77" s="140"/>
      <c r="J77" s="140"/>
      <c r="K77" s="140"/>
      <c r="L77" s="140"/>
      <c r="M77" s="140"/>
      <c r="N77" s="140"/>
      <c r="O77" s="140"/>
      <c r="P77" s="140"/>
    </row>
    <row r="78" spans="1:16" s="146" customFormat="1" ht="14.5">
      <c r="B78" s="159" t="s">
        <v>273</v>
      </c>
      <c r="C78" s="159"/>
      <c r="D78" s="159"/>
      <c r="E78" s="159"/>
      <c r="F78" s="160"/>
      <c r="G78" s="160"/>
      <c r="H78" s="160"/>
      <c r="I78" s="159"/>
      <c r="J78" s="159"/>
      <c r="K78" s="159"/>
      <c r="L78" s="159"/>
      <c r="M78" s="159"/>
      <c r="N78" s="159"/>
    </row>
    <row r="79" spans="1:16" s="146" customFormat="1" ht="14.5">
      <c r="B79" s="159" t="s">
        <v>91</v>
      </c>
      <c r="C79" s="159"/>
      <c r="D79" s="159"/>
      <c r="E79" s="159"/>
      <c r="F79" s="160"/>
      <c r="G79" s="160"/>
      <c r="H79" s="160"/>
      <c r="I79" s="159"/>
      <c r="J79" s="159"/>
      <c r="K79" s="159"/>
      <c r="L79" s="159"/>
      <c r="M79" s="159"/>
      <c r="N79" s="159"/>
    </row>
    <row r="80" spans="1:16" s="146" customFormat="1" ht="14.5">
      <c r="B80" s="161" t="s">
        <v>34</v>
      </c>
      <c r="C80" s="161" t="s">
        <v>35</v>
      </c>
      <c r="D80" s="161"/>
      <c r="E80" s="161" t="s">
        <v>36</v>
      </c>
      <c r="F80" s="162"/>
      <c r="G80" s="162"/>
      <c r="H80" s="162"/>
      <c r="I80" s="161"/>
      <c r="J80" s="161" t="s">
        <v>37</v>
      </c>
      <c r="K80" s="161"/>
      <c r="L80" s="161"/>
      <c r="M80" s="161"/>
      <c r="N80" s="161"/>
    </row>
    <row r="81" spans="1:16" s="146" customFormat="1" ht="14.5">
      <c r="B81" s="146" t="s">
        <v>41</v>
      </c>
      <c r="C81" s="146" t="s">
        <v>92</v>
      </c>
      <c r="E81" s="146" t="s">
        <v>46</v>
      </c>
      <c r="J81" s="146">
        <v>61109000</v>
      </c>
      <c r="L81" s="167">
        <v>152</v>
      </c>
      <c r="M81" s="168">
        <v>11.09</v>
      </c>
      <c r="N81" s="168">
        <f>L81*M81</f>
        <v>1685.68</v>
      </c>
    </row>
    <row r="82" spans="1:16" s="146" customFormat="1" ht="14.5">
      <c r="B82" s="146" t="s">
        <v>47</v>
      </c>
      <c r="C82" s="146" t="s">
        <v>93</v>
      </c>
      <c r="E82" s="146" t="s">
        <v>46</v>
      </c>
      <c r="J82" s="146">
        <v>61109000</v>
      </c>
      <c r="L82" s="167">
        <v>300</v>
      </c>
      <c r="M82" s="168">
        <v>12.36</v>
      </c>
      <c r="N82" s="168">
        <f>L82*M82</f>
        <v>3708</v>
      </c>
    </row>
    <row r="83" spans="1:16" s="146" customFormat="1" ht="14.5">
      <c r="B83" s="146" t="s">
        <v>38</v>
      </c>
      <c r="C83" s="146" t="s">
        <v>94</v>
      </c>
      <c r="E83" s="146" t="s">
        <v>95</v>
      </c>
      <c r="F83" s="145"/>
      <c r="G83" s="145"/>
      <c r="H83" s="145"/>
      <c r="J83" s="146">
        <v>61034900</v>
      </c>
      <c r="L83" s="169">
        <v>72</v>
      </c>
      <c r="M83" s="168">
        <v>6.22</v>
      </c>
      <c r="N83" s="168">
        <f>L83*M83</f>
        <v>447.84</v>
      </c>
    </row>
    <row r="84" spans="1:16" ht="14.5">
      <c r="A84" s="33"/>
      <c r="B84" s="38" t="s">
        <v>61</v>
      </c>
      <c r="C84" s="38"/>
      <c r="D84" s="38"/>
      <c r="E84" s="38"/>
      <c r="F84" s="39"/>
      <c r="G84" s="39"/>
      <c r="H84" s="39"/>
      <c r="I84" s="38"/>
      <c r="J84" s="38"/>
      <c r="K84" s="38"/>
      <c r="L84" s="41">
        <f>SUM(L81:L83)</f>
        <v>524</v>
      </c>
      <c r="M84" s="38"/>
      <c r="N84" s="40">
        <f>SUM(N81:N83)</f>
        <v>5841.52</v>
      </c>
      <c r="O84" s="33"/>
      <c r="P84" s="33"/>
    </row>
    <row r="85" spans="1:16" ht="14.5">
      <c r="A85" s="33"/>
      <c r="B85" s="36"/>
      <c r="C85" s="36"/>
      <c r="D85" s="36"/>
      <c r="E85" s="36"/>
      <c r="F85" s="37"/>
      <c r="G85" s="37"/>
      <c r="H85" s="37"/>
      <c r="I85" s="36"/>
      <c r="J85" s="36"/>
      <c r="K85" s="36"/>
      <c r="L85" s="36"/>
      <c r="M85" s="36"/>
      <c r="N85" s="36"/>
      <c r="O85" s="33"/>
      <c r="P85" s="33"/>
    </row>
    <row r="86" spans="1:16" ht="14.5">
      <c r="B86" s="18" t="s">
        <v>96</v>
      </c>
      <c r="C86" s="18"/>
      <c r="D86" s="18"/>
      <c r="E86" s="18"/>
      <c r="F86" s="25"/>
      <c r="G86" s="25"/>
      <c r="H86" s="25"/>
      <c r="I86" s="18"/>
      <c r="J86" s="18"/>
      <c r="K86" s="18"/>
      <c r="L86" s="34">
        <f>L48+L62+L76+L84</f>
        <v>3711</v>
      </c>
      <c r="M86" s="18"/>
      <c r="N86" s="35">
        <f>N48+N62+N76+N84</f>
        <v>34802.089999999997</v>
      </c>
    </row>
    <row r="87" spans="1:16" ht="14.5">
      <c r="B87" s="1" t="s">
        <v>97</v>
      </c>
      <c r="D87" s="1" t="s">
        <v>6</v>
      </c>
      <c r="E87" s="18" t="s">
        <v>98</v>
      </c>
    </row>
    <row r="88" spans="1:16" ht="14.5">
      <c r="B88" s="1" t="s">
        <v>99</v>
      </c>
      <c r="D88" s="1" t="s">
        <v>6</v>
      </c>
      <c r="E88" s="56" t="s">
        <v>270</v>
      </c>
    </row>
    <row r="89" spans="1:16" ht="14.5">
      <c r="B89" s="1" t="s">
        <v>101</v>
      </c>
      <c r="D89" s="1" t="s">
        <v>6</v>
      </c>
      <c r="E89" s="18" t="s">
        <v>100</v>
      </c>
    </row>
    <row r="90" spans="1:16" ht="14.5">
      <c r="G90" s="1" t="s">
        <v>102</v>
      </c>
      <c r="H90" s="42">
        <f>'PL FC Utrecht'!Y425</f>
        <v>6.0500000000000007</v>
      </c>
      <c r="I90" s="1" t="s">
        <v>103</v>
      </c>
      <c r="L90" s="28"/>
    </row>
    <row r="91" spans="1:16" ht="14.5">
      <c r="G91" s="1" t="s">
        <v>104</v>
      </c>
      <c r="H91" s="42">
        <f>'PL FC Utrecht'!V425</f>
        <v>1194.6779999999999</v>
      </c>
      <c r="I91" s="1" t="s">
        <v>105</v>
      </c>
    </row>
    <row r="92" spans="1:16" ht="14.5">
      <c r="G92" s="1" t="s">
        <v>106</v>
      </c>
      <c r="H92" s="42">
        <f>'PL FC Utrecht'!W425</f>
        <v>1033.3579999999999</v>
      </c>
      <c r="I92" s="1" t="s">
        <v>105</v>
      </c>
    </row>
    <row r="93" spans="1:16" ht="14.5">
      <c r="G93" s="1" t="s">
        <v>107</v>
      </c>
      <c r="H93" s="43">
        <f>'PL FC Utrecht'!R425</f>
        <v>116</v>
      </c>
      <c r="I93" s="1" t="s">
        <v>108</v>
      </c>
    </row>
    <row r="94" spans="1:16" ht="14.25" customHeight="1">
      <c r="B94" s="44" t="s">
        <v>109</v>
      </c>
      <c r="C94" s="171" t="s">
        <v>268</v>
      </c>
      <c r="D94" s="171"/>
      <c r="E94" s="171"/>
      <c r="F94" s="171"/>
      <c r="G94" s="171"/>
      <c r="H94" s="171"/>
      <c r="I94" s="171"/>
      <c r="J94" s="171"/>
    </row>
    <row r="95" spans="1:16" ht="14.5">
      <c r="C95" s="171"/>
      <c r="D95" s="171"/>
      <c r="E95" s="171"/>
      <c r="F95" s="171"/>
      <c r="G95" s="171"/>
      <c r="H95" s="171"/>
      <c r="I95" s="171"/>
      <c r="J95" s="171"/>
    </row>
    <row r="96" spans="1:16" ht="14.5">
      <c r="B96" s="18" t="s">
        <v>110</v>
      </c>
      <c r="C96" s="45"/>
      <c r="D96" s="1" t="s">
        <v>6</v>
      </c>
      <c r="E96" s="172"/>
      <c r="F96" s="172"/>
      <c r="G96" s="172"/>
      <c r="H96" s="172"/>
      <c r="I96" s="172"/>
      <c r="J96" s="172"/>
    </row>
    <row r="97" spans="1:14" ht="14.5">
      <c r="E97" s="172"/>
      <c r="F97" s="172"/>
      <c r="G97" s="172"/>
      <c r="H97" s="172"/>
      <c r="I97" s="172"/>
      <c r="J97" s="172"/>
    </row>
    <row r="98" spans="1:14" ht="14.5">
      <c r="E98" s="172"/>
      <c r="F98" s="172"/>
      <c r="G98" s="172"/>
      <c r="H98" s="172"/>
      <c r="I98" s="172"/>
      <c r="J98" s="172"/>
    </row>
    <row r="99" spans="1:14" ht="14.5">
      <c r="A99" s="6"/>
      <c r="B99" s="5" t="s">
        <v>111</v>
      </c>
      <c r="C99" s="6"/>
      <c r="D99" s="6" t="s">
        <v>6</v>
      </c>
      <c r="E99" s="6" t="s">
        <v>112</v>
      </c>
      <c r="F99" s="7"/>
      <c r="G99" s="7"/>
      <c r="H99" s="7"/>
      <c r="I99" s="6"/>
      <c r="J99" s="6"/>
      <c r="K99" s="6"/>
      <c r="L99" s="6"/>
      <c r="M99" s="6"/>
      <c r="N99" s="6"/>
    </row>
    <row r="100" spans="1:14" ht="14.5">
      <c r="E100" s="1" t="s">
        <v>113</v>
      </c>
    </row>
    <row r="101" spans="1:14" ht="14.5">
      <c r="E101" s="1" t="s">
        <v>114</v>
      </c>
    </row>
    <row r="102" spans="1:14" ht="14.5">
      <c r="E102" s="1" t="s">
        <v>115</v>
      </c>
    </row>
    <row r="103" spans="1:14" ht="14.5">
      <c r="E103" s="1" t="s">
        <v>116</v>
      </c>
    </row>
    <row r="104" spans="1:14" ht="14.5">
      <c r="E104" s="1" t="s">
        <v>117</v>
      </c>
    </row>
    <row r="105" spans="1:14" ht="14.5">
      <c r="E105" s="1" t="s">
        <v>118</v>
      </c>
    </row>
    <row r="107" spans="1:14" ht="14.5">
      <c r="B107" s="18" t="s">
        <v>119</v>
      </c>
    </row>
    <row r="108" spans="1:14" ht="14.5">
      <c r="B108" s="1" t="s">
        <v>120</v>
      </c>
      <c r="D108" s="1" t="s">
        <v>6</v>
      </c>
      <c r="E108" s="1" t="s">
        <v>121</v>
      </c>
    </row>
    <row r="109" spans="1:14" ht="14.5">
      <c r="B109" s="1" t="s">
        <v>122</v>
      </c>
      <c r="D109" s="1" t="s">
        <v>6</v>
      </c>
      <c r="E109" s="1" t="s">
        <v>123</v>
      </c>
    </row>
    <row r="110" spans="1:14" ht="14.5">
      <c r="E110" s="1" t="s">
        <v>124</v>
      </c>
      <c r="L110" s="173" t="s">
        <v>125</v>
      </c>
      <c r="M110" s="173"/>
      <c r="N110" s="173"/>
    </row>
    <row r="111" spans="1:14" ht="14.5">
      <c r="E111" s="1" t="s">
        <v>126</v>
      </c>
    </row>
    <row r="112" spans="1:14" ht="14.5">
      <c r="B112" s="1" t="s">
        <v>127</v>
      </c>
      <c r="D112" s="1" t="s">
        <v>6</v>
      </c>
      <c r="E112" s="1" t="s">
        <v>128</v>
      </c>
    </row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</sheetData>
  <mergeCells count="19">
    <mergeCell ref="F4:I4"/>
    <mergeCell ref="B6:H11"/>
    <mergeCell ref="I6:L6"/>
    <mergeCell ref="M6:N6"/>
    <mergeCell ref="L7:N8"/>
    <mergeCell ref="L9:N10"/>
    <mergeCell ref="B28:I28"/>
    <mergeCell ref="C94:J95"/>
    <mergeCell ref="E96:J98"/>
    <mergeCell ref="L110:N110"/>
    <mergeCell ref="B13:H18"/>
    <mergeCell ref="I13:N16"/>
    <mergeCell ref="B20:E22"/>
    <mergeCell ref="F20:H20"/>
    <mergeCell ref="I20:N26"/>
    <mergeCell ref="F22:H22"/>
    <mergeCell ref="E23:H23"/>
    <mergeCell ref="E24:H24"/>
    <mergeCell ref="B25:H26"/>
  </mergeCells>
  <printOptions horizontalCentered="1"/>
  <pageMargins left="0.25" right="0.25" top="0.75" bottom="0.5" header="0.5" footer="0.35"/>
  <pageSetup paperSize="9" scale="70" orientation="portrait" useFirstPageNumber="1" horizontalDpi="300" verticalDpi="300" r:id="rId1"/>
  <headerFooter>
    <oddFooter>Page &amp;P of &amp;N</oddFooter>
  </headerFooter>
  <rowBreaks count="1" manualBreakCount="1">
    <brk id="6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048576"/>
  <sheetViews>
    <sheetView tabSelected="1" view="pageBreakPreview" topLeftCell="A367" zoomScale="60" zoomScaleNormal="75" workbookViewId="0">
      <selection activeCell="T389" sqref="T389"/>
    </sheetView>
  </sheetViews>
  <sheetFormatPr defaultColWidth="8.7265625" defaultRowHeight="14.25" customHeight="1"/>
  <cols>
    <col min="1" max="1" width="12" style="46" customWidth="1"/>
    <col min="2" max="2" width="29.54296875" style="46" customWidth="1"/>
    <col min="3" max="3" width="12.1796875" style="46" customWidth="1"/>
    <col min="4" max="4" width="6.7265625" style="46" customWidth="1"/>
    <col min="5" max="14" width="4.453125" style="46" customWidth="1"/>
    <col min="15" max="15" width="7.453125" style="46" customWidth="1"/>
    <col min="16" max="16" width="2.26953125" style="46" customWidth="1"/>
    <col min="17" max="17" width="6.81640625" style="46" customWidth="1"/>
    <col min="18" max="18" width="7.1796875" style="46" customWidth="1"/>
    <col min="19" max="19" width="8" style="46" customWidth="1"/>
    <col min="20" max="20" width="8.81640625" style="46" customWidth="1"/>
    <col min="21" max="21" width="8.7265625" style="46"/>
    <col min="22" max="23" width="8.453125" style="46" customWidth="1"/>
    <col min="24" max="24" width="12.81640625" style="46" customWidth="1"/>
    <col min="25" max="25" width="8.54296875" style="46" customWidth="1"/>
    <col min="26" max="26" width="11.453125" style="46" customWidth="1"/>
    <col min="27" max="28" width="8.7265625" style="46"/>
    <col min="29" max="16384" width="8.7265625" style="47"/>
  </cols>
  <sheetData>
    <row r="1" spans="1:26" ht="15.5">
      <c r="B1" s="48"/>
    </row>
    <row r="2" spans="1:26" ht="14.5">
      <c r="B2" s="49"/>
    </row>
    <row r="4" spans="1:26" ht="18">
      <c r="C4" s="218" t="s">
        <v>129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</row>
    <row r="6" spans="1:26" ht="14.5">
      <c r="A6" s="50" t="s">
        <v>1</v>
      </c>
      <c r="B6" s="51"/>
      <c r="C6" s="52" t="s">
        <v>11</v>
      </c>
      <c r="D6" s="53"/>
      <c r="E6" s="53"/>
      <c r="F6" s="53"/>
      <c r="G6" s="53"/>
      <c r="H6" s="51"/>
      <c r="I6" s="52" t="s">
        <v>130</v>
      </c>
      <c r="J6" s="53"/>
      <c r="K6" s="53"/>
      <c r="L6" s="53"/>
      <c r="M6" s="53"/>
      <c r="N6" s="53"/>
      <c r="O6" s="54" t="s">
        <v>6</v>
      </c>
      <c r="P6" s="54"/>
      <c r="Q6" s="54"/>
      <c r="R6" s="219">
        <v>45810</v>
      </c>
      <c r="S6" s="219"/>
      <c r="T6" s="55"/>
      <c r="U6" s="55"/>
      <c r="V6" s="53"/>
      <c r="W6" s="53"/>
      <c r="X6" s="53"/>
      <c r="Y6" s="53"/>
      <c r="Z6" s="51"/>
    </row>
    <row r="7" spans="1:26" ht="14.25" customHeight="1">
      <c r="A7" s="220" t="s">
        <v>131</v>
      </c>
      <c r="B7" s="220"/>
      <c r="C7" s="221" t="s">
        <v>131</v>
      </c>
      <c r="D7" s="221"/>
      <c r="E7" s="221"/>
      <c r="F7" s="221"/>
      <c r="G7" s="221"/>
      <c r="H7" s="221"/>
      <c r="I7" s="56" t="s">
        <v>132</v>
      </c>
      <c r="O7" s="57" t="s">
        <v>6</v>
      </c>
      <c r="P7" s="57"/>
      <c r="Q7" s="57"/>
      <c r="R7" s="46" t="s">
        <v>265</v>
      </c>
      <c r="Z7" s="58"/>
    </row>
    <row r="8" spans="1:26" ht="14.5">
      <c r="A8" s="220"/>
      <c r="B8" s="220"/>
      <c r="C8" s="221"/>
      <c r="D8" s="221"/>
      <c r="E8" s="221"/>
      <c r="F8" s="221"/>
      <c r="G8" s="221"/>
      <c r="H8" s="221"/>
      <c r="I8" s="56" t="s">
        <v>133</v>
      </c>
      <c r="O8" s="57" t="s">
        <v>6</v>
      </c>
      <c r="P8" s="57"/>
      <c r="Q8" s="57"/>
      <c r="R8" s="222" t="s">
        <v>9</v>
      </c>
      <c r="S8" s="222"/>
      <c r="T8" s="59"/>
      <c r="U8" s="59"/>
      <c r="Z8" s="58"/>
    </row>
    <row r="9" spans="1:26" ht="14.5">
      <c r="A9" s="220"/>
      <c r="B9" s="220"/>
      <c r="C9" s="221"/>
      <c r="D9" s="221"/>
      <c r="E9" s="221"/>
      <c r="F9" s="221"/>
      <c r="G9" s="221"/>
      <c r="H9" s="221"/>
      <c r="I9" s="56" t="s">
        <v>134</v>
      </c>
      <c r="O9" s="57" t="s">
        <v>6</v>
      </c>
      <c r="P9" s="57"/>
      <c r="Q9" s="57"/>
      <c r="R9" s="223">
        <v>45956</v>
      </c>
      <c r="S9" s="223"/>
      <c r="T9" s="60"/>
      <c r="U9" s="60"/>
      <c r="Z9" s="58"/>
    </row>
    <row r="10" spans="1:26" ht="14.5">
      <c r="A10" s="220"/>
      <c r="B10" s="220"/>
      <c r="C10" s="221"/>
      <c r="D10" s="221"/>
      <c r="E10" s="221"/>
      <c r="F10" s="221"/>
      <c r="G10" s="221"/>
      <c r="H10" s="221"/>
      <c r="I10" s="56" t="s">
        <v>135</v>
      </c>
      <c r="O10" s="57" t="s">
        <v>6</v>
      </c>
      <c r="P10" s="57"/>
      <c r="Q10" s="57"/>
      <c r="R10" s="222"/>
      <c r="S10" s="222"/>
      <c r="T10" s="222"/>
      <c r="U10" s="222"/>
      <c r="V10" s="222"/>
      <c r="W10" s="222"/>
      <c r="X10" s="222"/>
      <c r="Y10" s="222"/>
      <c r="Z10" s="58"/>
    </row>
    <row r="11" spans="1:26" ht="14.5">
      <c r="A11" s="220"/>
      <c r="B11" s="220"/>
      <c r="C11" s="221"/>
      <c r="D11" s="221"/>
      <c r="E11" s="221"/>
      <c r="F11" s="221"/>
      <c r="G11" s="221"/>
      <c r="H11" s="221"/>
      <c r="I11" s="56" t="s">
        <v>136</v>
      </c>
      <c r="O11" s="57" t="s">
        <v>6</v>
      </c>
      <c r="P11" s="57"/>
      <c r="Q11" s="57"/>
      <c r="R11" s="224"/>
      <c r="S11" s="224"/>
      <c r="T11" s="61"/>
      <c r="U11" s="61"/>
      <c r="Z11" s="58"/>
    </row>
    <row r="12" spans="1:26" ht="14.5">
      <c r="A12" s="220"/>
      <c r="B12" s="220"/>
      <c r="C12" s="221"/>
      <c r="D12" s="221"/>
      <c r="E12" s="221"/>
      <c r="F12" s="221"/>
      <c r="G12" s="221"/>
      <c r="H12" s="221"/>
      <c r="I12" s="56" t="s">
        <v>137</v>
      </c>
      <c r="O12" s="57" t="s">
        <v>6</v>
      </c>
      <c r="P12" s="57"/>
      <c r="Q12" s="57"/>
      <c r="R12" s="177" t="s">
        <v>19</v>
      </c>
      <c r="S12" s="177"/>
      <c r="T12" s="177"/>
      <c r="U12" s="177"/>
      <c r="V12" s="177"/>
      <c r="W12" s="177"/>
      <c r="X12" s="177"/>
      <c r="Y12" s="177"/>
      <c r="Z12" s="177"/>
    </row>
    <row r="13" spans="1:26" ht="14.5">
      <c r="A13" s="220"/>
      <c r="B13" s="220"/>
      <c r="C13" s="221"/>
      <c r="D13" s="221"/>
      <c r="E13" s="221"/>
      <c r="F13" s="221"/>
      <c r="G13" s="221"/>
      <c r="H13" s="221"/>
      <c r="I13" s="56" t="s">
        <v>138</v>
      </c>
      <c r="O13" s="57" t="s">
        <v>6</v>
      </c>
      <c r="P13" s="57"/>
      <c r="Q13" s="57"/>
      <c r="R13" s="177" t="s">
        <v>98</v>
      </c>
      <c r="S13" s="177"/>
      <c r="T13" s="177"/>
      <c r="U13" s="177"/>
      <c r="V13" s="177"/>
      <c r="W13" s="177"/>
      <c r="X13" s="177"/>
      <c r="Y13" s="177"/>
      <c r="Z13" s="177"/>
    </row>
    <row r="14" spans="1:26" ht="14.5">
      <c r="A14" s="220"/>
      <c r="B14" s="220"/>
      <c r="C14" s="221"/>
      <c r="D14" s="221"/>
      <c r="E14" s="221"/>
      <c r="F14" s="221"/>
      <c r="G14" s="221"/>
      <c r="H14" s="221"/>
      <c r="I14" s="56" t="s">
        <v>139</v>
      </c>
      <c r="O14" s="57" t="s">
        <v>6</v>
      </c>
      <c r="P14" s="57"/>
      <c r="Q14" s="57"/>
      <c r="R14" s="177" t="s">
        <v>19</v>
      </c>
      <c r="S14" s="177"/>
      <c r="T14" s="177"/>
      <c r="U14" s="177"/>
      <c r="V14" s="177"/>
      <c r="W14" s="177"/>
      <c r="X14" s="177"/>
      <c r="Y14" s="177"/>
      <c r="Z14" s="177"/>
    </row>
    <row r="15" spans="1:26" ht="14.5">
      <c r="A15" s="220"/>
      <c r="B15" s="220"/>
      <c r="C15" s="221"/>
      <c r="D15" s="221"/>
      <c r="E15" s="221"/>
      <c r="F15" s="221"/>
      <c r="G15" s="221"/>
      <c r="H15" s="221"/>
      <c r="I15" s="56" t="s">
        <v>140</v>
      </c>
      <c r="O15" s="57" t="s">
        <v>6</v>
      </c>
      <c r="P15" s="57"/>
      <c r="Q15" s="57"/>
      <c r="R15" s="177"/>
      <c r="S15" s="177"/>
      <c r="T15" s="177"/>
      <c r="U15" s="177"/>
      <c r="V15" s="177"/>
      <c r="W15" s="177"/>
      <c r="X15" s="177"/>
      <c r="Y15" s="177"/>
      <c r="Z15" s="177"/>
    </row>
    <row r="16" spans="1:26" ht="14.5">
      <c r="A16" s="220"/>
      <c r="B16" s="220"/>
      <c r="C16" s="221"/>
      <c r="D16" s="221"/>
      <c r="E16" s="221"/>
      <c r="F16" s="221"/>
      <c r="G16" s="221"/>
      <c r="H16" s="221"/>
      <c r="I16" s="56"/>
      <c r="Z16" s="58"/>
    </row>
    <row r="17" spans="1:26" ht="14.5">
      <c r="A17" s="62" t="s">
        <v>141</v>
      </c>
      <c r="B17" s="63"/>
      <c r="C17" s="63" t="s">
        <v>267</v>
      </c>
      <c r="D17" s="63"/>
      <c r="E17" s="63"/>
      <c r="F17" s="63"/>
      <c r="G17" s="63"/>
      <c r="H17" s="63"/>
      <c r="I17" s="64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5"/>
    </row>
    <row r="18" spans="1:26" ht="14.5">
      <c r="A18" s="62" t="s">
        <v>142</v>
      </c>
      <c r="B18" s="63"/>
      <c r="C18" s="63" t="s">
        <v>266</v>
      </c>
      <c r="D18" s="63"/>
      <c r="E18" s="63"/>
      <c r="F18" s="63"/>
      <c r="G18" s="63"/>
      <c r="H18" s="63"/>
      <c r="I18" s="64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5"/>
    </row>
    <row r="19" spans="1:26" ht="14.5">
      <c r="A19" s="66" t="s">
        <v>143</v>
      </c>
      <c r="B19" s="67"/>
      <c r="C19" s="67"/>
      <c r="D19" s="67"/>
      <c r="E19" s="67"/>
      <c r="F19" s="67"/>
      <c r="G19" s="67"/>
      <c r="H19" s="67"/>
      <c r="I19" s="68" t="s">
        <v>144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9"/>
    </row>
    <row r="20" spans="1:26" ht="14.25" customHeight="1">
      <c r="A20" s="212"/>
      <c r="B20" s="212"/>
      <c r="C20" s="212"/>
      <c r="D20" s="212"/>
      <c r="E20" s="212"/>
      <c r="F20" s="212"/>
      <c r="G20" s="212"/>
      <c r="H20" s="212"/>
      <c r="I20" s="213" t="s">
        <v>145</v>
      </c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</row>
    <row r="21" spans="1:26" ht="14.25" customHeight="1">
      <c r="A21" s="212"/>
      <c r="B21" s="212"/>
      <c r="C21" s="212"/>
      <c r="D21" s="212"/>
      <c r="E21" s="212"/>
      <c r="F21" s="212"/>
      <c r="G21" s="212"/>
      <c r="H21" s="212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</row>
    <row r="22" spans="1:26" ht="14.25" customHeight="1">
      <c r="A22" s="212"/>
      <c r="B22" s="212"/>
      <c r="C22" s="212"/>
      <c r="D22" s="212"/>
      <c r="E22" s="212"/>
      <c r="F22" s="212"/>
      <c r="G22" s="212"/>
      <c r="H22" s="212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</row>
    <row r="23" spans="1:26" ht="14.25" customHeight="1">
      <c r="A23" s="212"/>
      <c r="B23" s="212"/>
      <c r="C23" s="212"/>
      <c r="D23" s="212"/>
      <c r="E23" s="212"/>
      <c r="F23" s="212"/>
      <c r="G23" s="212"/>
      <c r="H23" s="212"/>
      <c r="I23" s="70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4.25" customHeight="1">
      <c r="A24" s="212"/>
      <c r="B24" s="212"/>
      <c r="C24" s="212"/>
      <c r="D24" s="212"/>
      <c r="E24" s="212"/>
      <c r="F24" s="212"/>
      <c r="G24" s="212"/>
      <c r="H24" s="212"/>
      <c r="I24" s="70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4.25" customHeight="1">
      <c r="A25" s="212"/>
      <c r="B25" s="212"/>
      <c r="C25" s="212"/>
      <c r="D25" s="212"/>
      <c r="E25" s="212"/>
      <c r="F25" s="212"/>
      <c r="G25" s="212"/>
      <c r="H25" s="212"/>
      <c r="I25" s="70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4.25" customHeight="1">
      <c r="A26" s="212"/>
      <c r="B26" s="212"/>
      <c r="C26" s="212"/>
      <c r="D26" s="212"/>
      <c r="E26" s="212"/>
      <c r="F26" s="212"/>
      <c r="G26" s="212"/>
      <c r="H26" s="212"/>
      <c r="I26" s="72" t="s">
        <v>146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4.25" customHeight="1">
      <c r="A27" s="214" t="s">
        <v>147</v>
      </c>
      <c r="B27" s="214" t="s">
        <v>148</v>
      </c>
      <c r="C27" s="215" t="s">
        <v>149</v>
      </c>
      <c r="D27" s="74" t="s">
        <v>150</v>
      </c>
      <c r="E27" s="216" t="s">
        <v>151</v>
      </c>
      <c r="F27" s="216"/>
      <c r="G27" s="216"/>
      <c r="H27" s="216"/>
      <c r="I27" s="216"/>
      <c r="J27" s="216"/>
      <c r="K27" s="216"/>
      <c r="L27" s="216"/>
      <c r="M27" s="216"/>
      <c r="N27" s="216"/>
      <c r="O27" s="214" t="s">
        <v>152</v>
      </c>
      <c r="P27" s="214"/>
      <c r="Q27" s="214"/>
      <c r="R27" s="74" t="s">
        <v>153</v>
      </c>
      <c r="S27" s="74" t="s">
        <v>153</v>
      </c>
      <c r="T27" s="74" t="s">
        <v>154</v>
      </c>
      <c r="U27" s="74" t="s">
        <v>155</v>
      </c>
      <c r="V27" s="74" t="s">
        <v>154</v>
      </c>
      <c r="W27" s="74" t="s">
        <v>155</v>
      </c>
      <c r="X27" s="74" t="s">
        <v>156</v>
      </c>
      <c r="Y27" s="214" t="s">
        <v>103</v>
      </c>
      <c r="Z27" s="74" t="s">
        <v>157</v>
      </c>
    </row>
    <row r="28" spans="1:26" ht="14.25" customHeight="1">
      <c r="A28" s="214"/>
      <c r="B28" s="214"/>
      <c r="C28" s="215"/>
      <c r="D28" s="76" t="s">
        <v>158</v>
      </c>
      <c r="E28" s="75" t="s">
        <v>159</v>
      </c>
      <c r="F28" s="75" t="s">
        <v>160</v>
      </c>
      <c r="G28" s="75" t="s">
        <v>161</v>
      </c>
      <c r="H28" s="75" t="s">
        <v>162</v>
      </c>
      <c r="I28" s="75" t="s">
        <v>163</v>
      </c>
      <c r="J28" s="75"/>
      <c r="K28" s="75"/>
      <c r="L28" s="75"/>
      <c r="M28" s="75"/>
      <c r="N28" s="75"/>
      <c r="O28" s="214"/>
      <c r="P28" s="214"/>
      <c r="Q28" s="214"/>
      <c r="R28" s="76" t="s">
        <v>164</v>
      </c>
      <c r="S28" s="76" t="s">
        <v>165</v>
      </c>
      <c r="T28" s="76" t="s">
        <v>156</v>
      </c>
      <c r="U28" s="76" t="s">
        <v>156</v>
      </c>
      <c r="V28" s="76" t="s">
        <v>166</v>
      </c>
      <c r="W28" s="76" t="s">
        <v>166</v>
      </c>
      <c r="X28" s="76" t="s">
        <v>102</v>
      </c>
      <c r="Y28" s="214"/>
      <c r="Z28" s="76" t="s">
        <v>167</v>
      </c>
    </row>
    <row r="29" spans="1:26" ht="14.25" customHeight="1">
      <c r="A29" s="217" t="s">
        <v>64</v>
      </c>
      <c r="B29" s="217" t="s">
        <v>65</v>
      </c>
      <c r="C29" s="217" t="s">
        <v>168</v>
      </c>
      <c r="D29" s="217" t="s">
        <v>38</v>
      </c>
      <c r="E29" s="77"/>
      <c r="F29" s="77"/>
      <c r="G29" s="77"/>
      <c r="H29" s="77">
        <v>24</v>
      </c>
      <c r="I29" s="77"/>
      <c r="J29" s="77"/>
      <c r="K29" s="77"/>
      <c r="L29" s="77"/>
      <c r="M29" s="77"/>
      <c r="N29" s="77"/>
      <c r="O29" s="77">
        <v>1</v>
      </c>
      <c r="P29" s="77"/>
      <c r="Q29" s="77">
        <f>O29+R29-1</f>
        <v>1</v>
      </c>
      <c r="R29" s="77">
        <v>1</v>
      </c>
      <c r="S29" s="77">
        <f>SUM(E29:N29)*R29</f>
        <v>24</v>
      </c>
      <c r="T29" s="77">
        <f>IF(X29="595X289X390",1.46,IF(X29="597X292X191",0.96,IF(X29="560X600X390",2.04,IF(X29="560X400X390",1.84))))+U29</f>
        <v>11.54</v>
      </c>
      <c r="U29" s="77">
        <f>+((E29*0.35)+(F29*0.37)+(G29*0.39)+(H29*0.42)+(I29*0.44)+(J29*0.46)+(K29*0.456)+(L29*0.468)+(M29*0.478))</f>
        <v>10.08</v>
      </c>
      <c r="V29" s="78">
        <f>T29*R29</f>
        <v>11.54</v>
      </c>
      <c r="W29" s="78">
        <f>U29*R29</f>
        <v>10.08</v>
      </c>
      <c r="X29" s="77" t="s">
        <v>169</v>
      </c>
      <c r="Y29" s="77">
        <f>IF(X29="595X289X390",0.071,IF(X29="597X292X191",0.034,IF(X29="560X600X390",0.132,IF(X29="560X400X390",0.088))))*R29</f>
        <v>7.0999999999999994E-2</v>
      </c>
      <c r="Z29" s="77">
        <v>0</v>
      </c>
    </row>
    <row r="30" spans="1:26" ht="14.25" customHeight="1">
      <c r="A30" s="217"/>
      <c r="B30" s="217"/>
      <c r="C30" s="217"/>
      <c r="D30" s="217"/>
      <c r="E30" s="77">
        <v>3</v>
      </c>
      <c r="F30" s="77"/>
      <c r="G30" s="77">
        <v>22</v>
      </c>
      <c r="H30" s="77"/>
      <c r="I30" s="77"/>
      <c r="J30" s="77"/>
      <c r="K30" s="77"/>
      <c r="L30" s="77"/>
      <c r="M30" s="77"/>
      <c r="N30" s="77"/>
      <c r="O30" s="77">
        <f>Q29+1</f>
        <v>2</v>
      </c>
      <c r="P30" s="77"/>
      <c r="Q30" s="77">
        <f>O30+R30-1</f>
        <v>2</v>
      </c>
      <c r="R30" s="77">
        <v>1</v>
      </c>
      <c r="S30" s="77">
        <f>SUM(E30:N30)*R30</f>
        <v>25</v>
      </c>
      <c r="T30" s="77">
        <f>IF(X30="595X289X390",1.46,IF(X30="597X292X191",0.96,IF(X30="560X600X390",2.04,IF(X30="560X400X390",1.84))))+U30</f>
        <v>11.09</v>
      </c>
      <c r="U30" s="77">
        <f>+((E30*0.35)+(F30*0.37)+(G30*0.39)+(H30*0.42)+(I30*0.44)+(J30*0.46)+(K30*0.456)+(L30*0.468)+(M30*0.478))</f>
        <v>9.629999999999999</v>
      </c>
      <c r="V30" s="77">
        <f>T30*R30</f>
        <v>11.09</v>
      </c>
      <c r="W30" s="77">
        <f>U30*R30</f>
        <v>9.629999999999999</v>
      </c>
      <c r="X30" s="77" t="s">
        <v>169</v>
      </c>
      <c r="Y30" s="77">
        <f>IF(X30="595X289X390",0.071,IF(X30="597X292X191",0.034,IF(X30="560X600X390",0.132,IF(X30="560X400X390",0.088))))*R30</f>
        <v>7.0999999999999994E-2</v>
      </c>
      <c r="Z30" s="77">
        <v>0</v>
      </c>
    </row>
    <row r="31" spans="1:26" ht="14.25" customHeight="1">
      <c r="A31" s="217"/>
      <c r="B31" s="217"/>
      <c r="C31" s="217"/>
      <c r="D31" s="217"/>
      <c r="E31" s="77"/>
      <c r="F31" s="77">
        <v>21</v>
      </c>
      <c r="G31" s="77"/>
      <c r="H31" s="77"/>
      <c r="I31" s="77">
        <v>4</v>
      </c>
      <c r="J31" s="77"/>
      <c r="K31" s="77"/>
      <c r="L31" s="77"/>
      <c r="M31" s="77"/>
      <c r="N31" s="77"/>
      <c r="O31" s="77">
        <f>Q30+1</f>
        <v>3</v>
      </c>
      <c r="P31" s="77"/>
      <c r="Q31" s="77">
        <f>O31+R31-1</f>
        <v>3</v>
      </c>
      <c r="R31" s="77">
        <v>1</v>
      </c>
      <c r="S31" s="77">
        <f>SUM(E31:N31)*R31</f>
        <v>25</v>
      </c>
      <c r="T31" s="77">
        <f>IF(X31="595X289X390",1.46,IF(X31="597X292X191",0.96,IF(X31="560X600X390",2.04,IF(X31="560X400X390",1.84))))+U31</f>
        <v>10.989999999999998</v>
      </c>
      <c r="U31" s="77">
        <f>+((E31*0.35)+(F31*0.37)+(G31*0.39)+(H31*0.42)+(I31*0.44)+(J31*0.46)+(K31*0.456)+(L31*0.468)+(M31*0.478))</f>
        <v>9.5299999999999994</v>
      </c>
      <c r="V31" s="77">
        <f>T31*R31</f>
        <v>10.989999999999998</v>
      </c>
      <c r="W31" s="77">
        <f>U31*R31</f>
        <v>9.5299999999999994</v>
      </c>
      <c r="X31" s="77" t="s">
        <v>169</v>
      </c>
      <c r="Y31" s="77">
        <f>IF(X31="595X289X390",0.071,IF(X31="597X292X191",0.034,IF(X31="560X600X390",0.132,IF(X31="560X400X390",0.088))))*R31</f>
        <v>7.0999999999999994E-2</v>
      </c>
      <c r="Z31" s="77">
        <v>0</v>
      </c>
    </row>
    <row r="32" spans="1:26" ht="14.25" customHeight="1">
      <c r="A32" s="217"/>
      <c r="B32" s="217"/>
      <c r="C32" s="217"/>
      <c r="D32" s="217"/>
      <c r="E32" s="77">
        <v>12</v>
      </c>
      <c r="F32" s="77"/>
      <c r="G32" s="77"/>
      <c r="H32" s="77"/>
      <c r="I32" s="77">
        <v>14</v>
      </c>
      <c r="J32" s="77"/>
      <c r="K32" s="77"/>
      <c r="L32" s="77"/>
      <c r="M32" s="77"/>
      <c r="N32" s="77"/>
      <c r="O32" s="77">
        <f>Q31+1</f>
        <v>4</v>
      </c>
      <c r="P32" s="77"/>
      <c r="Q32" s="77">
        <f>O32+R32-1</f>
        <v>4</v>
      </c>
      <c r="R32" s="77">
        <v>1</v>
      </c>
      <c r="S32" s="77">
        <f>SUM(E32:N32)*R32</f>
        <v>26</v>
      </c>
      <c r="T32" s="77">
        <f>IF(X32="595X289X390",1.46,IF(X32="597X292X191",0.96,IF(X32="560X600X390",2.04,IF(X32="560X400X390",1.84))))+U32</f>
        <v>11.82</v>
      </c>
      <c r="U32" s="77">
        <f>+((E32*0.35)+(F32*0.37)+(G32*0.39)+(H32*0.42)+(I32*0.44)+(J32*0.46)+(K32*0.456)+(L32*0.468)+(M32*0.478))</f>
        <v>10.36</v>
      </c>
      <c r="V32" s="77">
        <f>T32*R32</f>
        <v>11.82</v>
      </c>
      <c r="W32" s="77">
        <f>U32*R32</f>
        <v>10.36</v>
      </c>
      <c r="X32" s="77" t="s">
        <v>169</v>
      </c>
      <c r="Y32" s="77">
        <f>IF(X32="595X289X390",0.071,IF(X32="597X292X191",0.034,IF(X32="560X600X390",0.132,IF(X32="560X400X390",0.088))))*R32</f>
        <v>7.0999999999999994E-2</v>
      </c>
      <c r="Z32" s="77">
        <v>0</v>
      </c>
    </row>
    <row r="33" spans="1:28" ht="14.25" customHeight="1">
      <c r="A33" s="79"/>
      <c r="B33" s="79"/>
      <c r="C33" s="211" t="s">
        <v>61</v>
      </c>
      <c r="D33" s="211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80">
        <f t="shared" ref="R33:W33" si="0">SUM(R29:R32)</f>
        <v>4</v>
      </c>
      <c r="S33" s="80">
        <f t="shared" si="0"/>
        <v>100</v>
      </c>
      <c r="T33" s="75">
        <f t="shared" si="0"/>
        <v>45.44</v>
      </c>
      <c r="U33" s="75">
        <f t="shared" si="0"/>
        <v>39.6</v>
      </c>
      <c r="V33" s="75">
        <f t="shared" si="0"/>
        <v>45.44</v>
      </c>
      <c r="W33" s="75">
        <f t="shared" si="0"/>
        <v>39.6</v>
      </c>
      <c r="X33" s="75"/>
      <c r="Y33" s="75">
        <f>SUM(Y29:Y32)</f>
        <v>0.28399999999999997</v>
      </c>
      <c r="Z33" s="75">
        <f>SUM(Z29:Z32)</f>
        <v>0</v>
      </c>
    </row>
    <row r="34" spans="1:28" ht="14.25" customHeight="1">
      <c r="A34" s="79"/>
      <c r="B34" s="79"/>
      <c r="C34" s="211" t="s">
        <v>170</v>
      </c>
      <c r="D34" s="211"/>
      <c r="E34" s="80">
        <v>15</v>
      </c>
      <c r="F34" s="80">
        <v>21</v>
      </c>
      <c r="G34" s="80">
        <v>22</v>
      </c>
      <c r="H34" s="80">
        <v>24</v>
      </c>
      <c r="I34" s="80">
        <v>18</v>
      </c>
      <c r="J34" s="80"/>
      <c r="K34" s="80"/>
      <c r="L34" s="80"/>
      <c r="M34" s="80"/>
      <c r="N34" s="80"/>
      <c r="O34" s="80">
        <v>100</v>
      </c>
      <c r="P34" s="80"/>
      <c r="Q34" s="80"/>
      <c r="R34" s="79"/>
      <c r="S34" s="79"/>
      <c r="T34" s="79"/>
      <c r="U34" s="79"/>
      <c r="V34" s="79"/>
      <c r="W34" s="79"/>
      <c r="X34" s="79"/>
      <c r="Y34" s="79"/>
      <c r="Z34" s="79"/>
    </row>
    <row r="35" spans="1:28" ht="14.25" customHeight="1">
      <c r="A35" s="79"/>
      <c r="B35" s="79"/>
      <c r="C35" s="211" t="s">
        <v>171</v>
      </c>
      <c r="D35" s="211"/>
      <c r="E35" s="80">
        <v>15</v>
      </c>
      <c r="F35" s="80">
        <v>21</v>
      </c>
      <c r="G35" s="80">
        <v>22</v>
      </c>
      <c r="H35" s="80">
        <v>24</v>
      </c>
      <c r="I35" s="80">
        <v>18</v>
      </c>
      <c r="J35" s="80"/>
      <c r="K35" s="80"/>
      <c r="L35" s="80"/>
      <c r="M35" s="80"/>
      <c r="N35" s="80"/>
      <c r="O35" s="80">
        <v>100</v>
      </c>
      <c r="P35" s="80"/>
      <c r="Q35" s="80"/>
      <c r="R35" s="75"/>
      <c r="S35" s="79"/>
      <c r="T35" s="79"/>
      <c r="U35" s="79"/>
      <c r="V35" s="79"/>
      <c r="W35" s="79"/>
      <c r="X35" s="79"/>
      <c r="Y35" s="79"/>
      <c r="Z35" s="79"/>
    </row>
    <row r="36" spans="1:28" ht="14.25" customHeight="1">
      <c r="A36" s="79"/>
      <c r="B36" s="79"/>
      <c r="C36" s="211" t="s">
        <v>172</v>
      </c>
      <c r="D36" s="211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8" ht="14.25" customHeight="1">
      <c r="A37" s="79"/>
      <c r="B37" s="79"/>
      <c r="C37" s="211" t="s">
        <v>173</v>
      </c>
      <c r="D37" s="211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  <c r="P37" s="81"/>
      <c r="Q37" s="81"/>
      <c r="R37" s="79"/>
      <c r="S37" s="79"/>
      <c r="T37" s="79"/>
      <c r="U37" s="79"/>
      <c r="V37" s="79"/>
      <c r="W37" s="79"/>
      <c r="X37" s="79"/>
      <c r="Y37" s="79"/>
      <c r="Z37" s="79"/>
    </row>
    <row r="39" spans="1:28" ht="14.25" customHeight="1">
      <c r="A39" s="206" t="s">
        <v>147</v>
      </c>
      <c r="B39" s="206" t="s">
        <v>148</v>
      </c>
      <c r="C39" s="207" t="s">
        <v>149</v>
      </c>
      <c r="D39" s="82" t="s">
        <v>150</v>
      </c>
      <c r="E39" s="208" t="s">
        <v>151</v>
      </c>
      <c r="F39" s="208"/>
      <c r="G39" s="208"/>
      <c r="H39" s="208"/>
      <c r="I39" s="208"/>
      <c r="J39" s="208"/>
      <c r="K39" s="208"/>
      <c r="L39" s="208"/>
      <c r="M39" s="208"/>
      <c r="N39" s="208"/>
      <c r="O39" s="209" t="s">
        <v>152</v>
      </c>
      <c r="P39" s="209"/>
      <c r="Q39" s="209"/>
      <c r="R39" s="82" t="s">
        <v>153</v>
      </c>
      <c r="S39" s="82" t="s">
        <v>153</v>
      </c>
      <c r="T39" s="82" t="s">
        <v>154</v>
      </c>
      <c r="U39" s="82" t="s">
        <v>155</v>
      </c>
      <c r="V39" s="82" t="s">
        <v>154</v>
      </c>
      <c r="W39" s="82" t="s">
        <v>155</v>
      </c>
      <c r="X39" s="82" t="s">
        <v>156</v>
      </c>
      <c r="Y39" s="206" t="s">
        <v>103</v>
      </c>
      <c r="Z39" s="82" t="s">
        <v>157</v>
      </c>
      <c r="AA39" s="84"/>
      <c r="AB39" s="84"/>
    </row>
    <row r="40" spans="1:28" ht="14.5">
      <c r="A40" s="206"/>
      <c r="B40" s="206"/>
      <c r="C40" s="207"/>
      <c r="D40" s="85" t="s">
        <v>158</v>
      </c>
      <c r="E40" s="83" t="s">
        <v>174</v>
      </c>
      <c r="F40" s="83" t="s">
        <v>175</v>
      </c>
      <c r="G40" s="83" t="s">
        <v>176</v>
      </c>
      <c r="H40" s="83" t="s">
        <v>177</v>
      </c>
      <c r="I40" s="83" t="s">
        <v>178</v>
      </c>
      <c r="J40" s="83"/>
      <c r="K40" s="83"/>
      <c r="L40" s="83"/>
      <c r="M40" s="83"/>
      <c r="N40" s="83"/>
      <c r="O40" s="209"/>
      <c r="P40" s="209"/>
      <c r="Q40" s="209"/>
      <c r="R40" s="85" t="s">
        <v>164</v>
      </c>
      <c r="S40" s="85" t="s">
        <v>165</v>
      </c>
      <c r="T40" s="85" t="s">
        <v>156</v>
      </c>
      <c r="U40" s="85" t="s">
        <v>156</v>
      </c>
      <c r="V40" s="85" t="s">
        <v>166</v>
      </c>
      <c r="W40" s="85" t="s">
        <v>166</v>
      </c>
      <c r="X40" s="85" t="s">
        <v>102</v>
      </c>
      <c r="Y40" s="206"/>
      <c r="Z40" s="85" t="s">
        <v>167</v>
      </c>
      <c r="AA40" s="84"/>
      <c r="AB40" s="84"/>
    </row>
    <row r="41" spans="1:28" ht="13.9" customHeight="1">
      <c r="A41" s="210" t="s">
        <v>42</v>
      </c>
      <c r="B41" s="210" t="s">
        <v>43</v>
      </c>
      <c r="C41" s="210" t="s">
        <v>179</v>
      </c>
      <c r="D41" s="210" t="s">
        <v>41</v>
      </c>
      <c r="E41" s="86">
        <v>10</v>
      </c>
      <c r="F41" s="86">
        <v>16</v>
      </c>
      <c r="G41" s="86">
        <v>24</v>
      </c>
      <c r="H41" s="86">
        <v>26</v>
      </c>
      <c r="I41" s="86">
        <v>24</v>
      </c>
      <c r="J41" s="86"/>
      <c r="K41" s="86"/>
      <c r="L41" s="86"/>
      <c r="M41" s="86"/>
      <c r="N41" s="86"/>
      <c r="O41" s="86">
        <f>Q32+1</f>
        <v>5</v>
      </c>
      <c r="P41" s="86"/>
      <c r="Q41" s="86">
        <f>O41+R41-1</f>
        <v>5</v>
      </c>
      <c r="R41" s="86">
        <v>1</v>
      </c>
      <c r="S41" s="86">
        <f>SUM(E41:N41)*R41</f>
        <v>100</v>
      </c>
      <c r="T41" s="86">
        <v>3.58</v>
      </c>
      <c r="U41" s="86">
        <v>2.6</v>
      </c>
      <c r="V41" s="87">
        <v>3.58</v>
      </c>
      <c r="W41" s="87">
        <v>2.6</v>
      </c>
      <c r="X41" s="86" t="s">
        <v>169</v>
      </c>
      <c r="Y41" s="86">
        <f>IF(X41="595X289X390",0.071,IF(X41="597X292X191",0.034,IF(X41="560X600X390",0.132,IF(X41="560X400X390",0.088))))*R41</f>
        <v>7.0999999999999994E-2</v>
      </c>
      <c r="Z41" s="86">
        <v>0</v>
      </c>
      <c r="AA41" s="84"/>
      <c r="AB41" s="84"/>
    </row>
    <row r="42" spans="1:28" ht="14.25" customHeight="1">
      <c r="A42" s="210"/>
      <c r="B42" s="210"/>
      <c r="C42" s="210"/>
      <c r="D42" s="210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4"/>
      <c r="AB42" s="84"/>
    </row>
    <row r="43" spans="1:28" ht="14.25" customHeight="1">
      <c r="A43" s="88"/>
      <c r="B43" s="88"/>
      <c r="C43" s="205" t="s">
        <v>61</v>
      </c>
      <c r="D43" s="205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9">
        <f>SUM(R41)</f>
        <v>1</v>
      </c>
      <c r="S43" s="89">
        <f>SUM(S41)</f>
        <v>100</v>
      </c>
      <c r="T43" s="83">
        <v>35.659999999999997</v>
      </c>
      <c r="U43" s="83">
        <v>30.76</v>
      </c>
      <c r="V43" s="83">
        <v>35.659999999999997</v>
      </c>
      <c r="W43" s="83">
        <v>30.76</v>
      </c>
      <c r="X43" s="83"/>
      <c r="Y43" s="83">
        <f>SUM(Y41)</f>
        <v>7.0999999999999994E-2</v>
      </c>
      <c r="Z43" s="83">
        <v>0</v>
      </c>
      <c r="AA43" s="84"/>
      <c r="AB43" s="84"/>
    </row>
    <row r="44" spans="1:28" ht="14.25" customHeight="1">
      <c r="A44" s="88"/>
      <c r="B44" s="88"/>
      <c r="C44" s="205" t="s">
        <v>170</v>
      </c>
      <c r="D44" s="205"/>
      <c r="E44" s="89">
        <v>10</v>
      </c>
      <c r="F44" s="89">
        <v>16</v>
      </c>
      <c r="G44" s="89">
        <v>24</v>
      </c>
      <c r="H44" s="89">
        <v>26</v>
      </c>
      <c r="I44" s="89">
        <v>24</v>
      </c>
      <c r="J44" s="89"/>
      <c r="K44" s="89"/>
      <c r="L44" s="89"/>
      <c r="M44" s="89"/>
      <c r="N44" s="89"/>
      <c r="O44" s="89">
        <f>SUM(E44:N44)</f>
        <v>100</v>
      </c>
      <c r="P44" s="89"/>
      <c r="Q44" s="89"/>
      <c r="R44" s="88"/>
      <c r="S44" s="88"/>
      <c r="T44" s="88"/>
      <c r="U44" s="88"/>
      <c r="V44" s="88"/>
      <c r="W44" s="88"/>
      <c r="X44" s="88"/>
      <c r="Y44" s="88"/>
      <c r="Z44" s="88"/>
      <c r="AA44" s="84"/>
      <c r="AB44" s="84"/>
    </row>
    <row r="45" spans="1:28" ht="14.25" customHeight="1">
      <c r="A45" s="88"/>
      <c r="B45" s="88"/>
      <c r="C45" s="205" t="s">
        <v>171</v>
      </c>
      <c r="D45" s="205"/>
      <c r="E45" s="89">
        <v>10</v>
      </c>
      <c r="F45" s="89">
        <v>16</v>
      </c>
      <c r="G45" s="89">
        <v>24</v>
      </c>
      <c r="H45" s="89">
        <v>26</v>
      </c>
      <c r="I45" s="89">
        <v>24</v>
      </c>
      <c r="J45" s="89"/>
      <c r="K45" s="89"/>
      <c r="L45" s="89"/>
      <c r="M45" s="89"/>
      <c r="N45" s="89"/>
      <c r="O45" s="89">
        <f>SUM(E45:N45)</f>
        <v>100</v>
      </c>
      <c r="P45" s="89"/>
      <c r="Q45" s="89"/>
      <c r="R45" s="83"/>
      <c r="S45" s="88"/>
      <c r="T45" s="88"/>
      <c r="U45" s="88"/>
      <c r="V45" s="88"/>
      <c r="W45" s="88"/>
      <c r="X45" s="88"/>
      <c r="Y45" s="88"/>
      <c r="Z45" s="88"/>
      <c r="AA45" s="84"/>
      <c r="AB45" s="84"/>
    </row>
    <row r="46" spans="1:28" ht="14.25" customHeight="1">
      <c r="A46" s="88"/>
      <c r="B46" s="88"/>
      <c r="C46" s="205" t="s">
        <v>172</v>
      </c>
      <c r="D46" s="205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4"/>
      <c r="AB46" s="84"/>
    </row>
    <row r="47" spans="1:28" ht="14.25" customHeight="1">
      <c r="A47" s="88"/>
      <c r="B47" s="88"/>
      <c r="C47" s="205" t="s">
        <v>173</v>
      </c>
      <c r="D47" s="205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0"/>
      <c r="P47" s="90"/>
      <c r="Q47" s="90"/>
      <c r="R47" s="88"/>
      <c r="S47" s="88"/>
      <c r="T47" s="88"/>
      <c r="U47" s="88"/>
      <c r="V47" s="88"/>
      <c r="W47" s="88"/>
      <c r="X47" s="88"/>
      <c r="Y47" s="88"/>
      <c r="Z47" s="88"/>
      <c r="AA47" s="84"/>
      <c r="AB47" s="84"/>
    </row>
    <row r="48" spans="1:28" ht="14.2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</row>
    <row r="49" spans="1:28" ht="14.25" customHeight="1">
      <c r="A49" s="206" t="s">
        <v>147</v>
      </c>
      <c r="B49" s="206" t="s">
        <v>148</v>
      </c>
      <c r="C49" s="207" t="s">
        <v>149</v>
      </c>
      <c r="D49" s="82" t="s">
        <v>150</v>
      </c>
      <c r="E49" s="208" t="s">
        <v>151</v>
      </c>
      <c r="F49" s="208"/>
      <c r="G49" s="208"/>
      <c r="H49" s="208"/>
      <c r="I49" s="208"/>
      <c r="J49" s="208"/>
      <c r="K49" s="208"/>
      <c r="L49" s="208"/>
      <c r="M49" s="208"/>
      <c r="N49" s="208"/>
      <c r="O49" s="209" t="s">
        <v>152</v>
      </c>
      <c r="P49" s="209"/>
      <c r="Q49" s="209"/>
      <c r="R49" s="82" t="s">
        <v>153</v>
      </c>
      <c r="S49" s="82" t="s">
        <v>153</v>
      </c>
      <c r="T49" s="82" t="s">
        <v>154</v>
      </c>
      <c r="U49" s="82" t="s">
        <v>155</v>
      </c>
      <c r="V49" s="82" t="s">
        <v>154</v>
      </c>
      <c r="W49" s="82" t="s">
        <v>155</v>
      </c>
      <c r="X49" s="82" t="s">
        <v>156</v>
      </c>
      <c r="Y49" s="206" t="s">
        <v>103</v>
      </c>
      <c r="Z49" s="82" t="s">
        <v>157</v>
      </c>
      <c r="AA49" s="84"/>
      <c r="AB49" s="84"/>
    </row>
    <row r="50" spans="1:28" ht="14.25" customHeight="1">
      <c r="A50" s="206"/>
      <c r="B50" s="206"/>
      <c r="C50" s="207"/>
      <c r="D50" s="85" t="s">
        <v>158</v>
      </c>
      <c r="E50" s="83" t="s">
        <v>174</v>
      </c>
      <c r="F50" s="83" t="s">
        <v>175</v>
      </c>
      <c r="G50" s="83" t="s">
        <v>176</v>
      </c>
      <c r="H50" s="83" t="s">
        <v>177</v>
      </c>
      <c r="I50" s="83" t="s">
        <v>178</v>
      </c>
      <c r="J50" s="83"/>
      <c r="K50" s="83"/>
      <c r="L50" s="83"/>
      <c r="M50" s="83"/>
      <c r="N50" s="83"/>
      <c r="O50" s="209"/>
      <c r="P50" s="209"/>
      <c r="Q50" s="209"/>
      <c r="R50" s="85" t="s">
        <v>164</v>
      </c>
      <c r="S50" s="85" t="s">
        <v>165</v>
      </c>
      <c r="T50" s="85" t="s">
        <v>156</v>
      </c>
      <c r="U50" s="85" t="s">
        <v>156</v>
      </c>
      <c r="V50" s="85" t="s">
        <v>166</v>
      </c>
      <c r="W50" s="85" t="s">
        <v>166</v>
      </c>
      <c r="X50" s="85" t="s">
        <v>102</v>
      </c>
      <c r="Y50" s="206"/>
      <c r="Z50" s="85" t="s">
        <v>167</v>
      </c>
      <c r="AA50" s="84"/>
      <c r="AB50" s="84"/>
    </row>
    <row r="51" spans="1:28" ht="14.25" customHeight="1">
      <c r="A51" s="210" t="s">
        <v>45</v>
      </c>
      <c r="B51" s="210" t="s">
        <v>46</v>
      </c>
      <c r="C51" s="210" t="s">
        <v>180</v>
      </c>
      <c r="D51" s="210" t="s">
        <v>44</v>
      </c>
      <c r="E51" s="86">
        <v>18</v>
      </c>
      <c r="F51" s="86"/>
      <c r="G51" s="86"/>
      <c r="H51" s="86"/>
      <c r="I51" s="86"/>
      <c r="J51" s="86"/>
      <c r="K51" s="86"/>
      <c r="L51" s="86"/>
      <c r="M51" s="86"/>
      <c r="N51" s="86"/>
      <c r="O51" s="86">
        <f>Q41+1</f>
        <v>6</v>
      </c>
      <c r="P51" s="86"/>
      <c r="Q51" s="86">
        <f t="shared" ref="Q51:Q56" si="1">O51+R51-1</f>
        <v>6</v>
      </c>
      <c r="R51" s="86">
        <v>1</v>
      </c>
      <c r="S51" s="86">
        <f t="shared" ref="S51:S56" si="2">SUM(E51:N51)*R51</f>
        <v>18</v>
      </c>
      <c r="T51" s="86">
        <v>3.5</v>
      </c>
      <c r="U51" s="86">
        <v>2.52</v>
      </c>
      <c r="V51" s="86">
        <v>3.5</v>
      </c>
      <c r="W51" s="86">
        <v>2.52</v>
      </c>
      <c r="X51" s="86" t="s">
        <v>181</v>
      </c>
      <c r="Y51" s="86">
        <f t="shared" ref="Y51:Y56" si="3">IF(X51="595X289X390",0.071,IF(X51="597X292X191",0.034,IF(X51="560X600X390",0.132,IF(X51="560X400X390",0.088))))*R51</f>
        <v>3.4000000000000002E-2</v>
      </c>
      <c r="Z51" s="86">
        <v>0</v>
      </c>
      <c r="AA51" s="84"/>
      <c r="AB51" s="84"/>
    </row>
    <row r="52" spans="1:28" ht="14.25" customHeight="1">
      <c r="A52" s="210"/>
      <c r="B52" s="210"/>
      <c r="C52" s="210"/>
      <c r="D52" s="210"/>
      <c r="E52" s="86"/>
      <c r="F52" s="86">
        <v>20</v>
      </c>
      <c r="G52" s="86"/>
      <c r="H52" s="86"/>
      <c r="I52" s="86"/>
      <c r="J52" s="86"/>
      <c r="K52" s="86"/>
      <c r="L52" s="86"/>
      <c r="M52" s="86"/>
      <c r="N52" s="86"/>
      <c r="O52" s="86">
        <f>Q51+1</f>
        <v>7</v>
      </c>
      <c r="P52" s="86"/>
      <c r="Q52" s="86">
        <f t="shared" si="1"/>
        <v>7</v>
      </c>
      <c r="R52" s="86">
        <v>1</v>
      </c>
      <c r="S52" s="86">
        <f t="shared" si="2"/>
        <v>20</v>
      </c>
      <c r="T52" s="86">
        <v>5.74</v>
      </c>
      <c r="U52" s="86">
        <v>4.16</v>
      </c>
      <c r="V52" s="86">
        <v>5.74</v>
      </c>
      <c r="W52" s="86">
        <v>4.16</v>
      </c>
      <c r="X52" s="86" t="s">
        <v>181</v>
      </c>
      <c r="Y52" s="86">
        <f t="shared" si="3"/>
        <v>3.4000000000000002E-2</v>
      </c>
      <c r="Z52" s="86">
        <v>0</v>
      </c>
      <c r="AA52" s="84"/>
      <c r="AB52" s="84"/>
    </row>
    <row r="53" spans="1:28" ht="14.25" customHeight="1">
      <c r="A53" s="210"/>
      <c r="B53" s="210"/>
      <c r="C53" s="210"/>
      <c r="D53" s="210"/>
      <c r="E53" s="86"/>
      <c r="F53" s="86"/>
      <c r="G53" s="86">
        <v>20</v>
      </c>
      <c r="H53" s="86"/>
      <c r="I53" s="86"/>
      <c r="J53" s="86"/>
      <c r="K53" s="86"/>
      <c r="L53" s="86"/>
      <c r="M53" s="86"/>
      <c r="N53" s="86"/>
      <c r="O53" s="86">
        <f>Q52+1</f>
        <v>8</v>
      </c>
      <c r="P53" s="86"/>
      <c r="Q53" s="86">
        <f t="shared" si="1"/>
        <v>8</v>
      </c>
      <c r="R53" s="86">
        <v>1</v>
      </c>
      <c r="S53" s="86">
        <f t="shared" si="2"/>
        <v>20</v>
      </c>
      <c r="T53" s="86">
        <v>6.62</v>
      </c>
      <c r="U53" s="86">
        <v>5.04</v>
      </c>
      <c r="V53" s="86">
        <v>6.62</v>
      </c>
      <c r="W53" s="86">
        <v>5.04</v>
      </c>
      <c r="X53" s="86" t="s">
        <v>181</v>
      </c>
      <c r="Y53" s="86">
        <f t="shared" si="3"/>
        <v>3.4000000000000002E-2</v>
      </c>
      <c r="Z53" s="86">
        <v>0</v>
      </c>
      <c r="AA53" s="84"/>
      <c r="AB53" s="84"/>
    </row>
    <row r="54" spans="1:28" ht="14.25" customHeight="1">
      <c r="A54" s="210"/>
      <c r="B54" s="210"/>
      <c r="C54" s="210"/>
      <c r="D54" s="210"/>
      <c r="E54" s="86"/>
      <c r="F54" s="86"/>
      <c r="G54" s="86"/>
      <c r="H54" s="86">
        <v>20</v>
      </c>
      <c r="I54" s="86"/>
      <c r="J54" s="86"/>
      <c r="K54" s="86"/>
      <c r="L54" s="86"/>
      <c r="M54" s="86"/>
      <c r="N54" s="86"/>
      <c r="O54" s="86">
        <f>Q53+1</f>
        <v>9</v>
      </c>
      <c r="P54" s="86"/>
      <c r="Q54" s="86">
        <f t="shared" si="1"/>
        <v>9</v>
      </c>
      <c r="R54" s="86">
        <v>1</v>
      </c>
      <c r="S54" s="86">
        <f t="shared" si="2"/>
        <v>20</v>
      </c>
      <c r="T54" s="86">
        <v>7.98</v>
      </c>
      <c r="U54" s="86">
        <v>6.4</v>
      </c>
      <c r="V54" s="86">
        <v>7.98</v>
      </c>
      <c r="W54" s="86">
        <v>6.4</v>
      </c>
      <c r="X54" s="86" t="s">
        <v>181</v>
      </c>
      <c r="Y54" s="86">
        <f t="shared" si="3"/>
        <v>3.4000000000000002E-2</v>
      </c>
      <c r="Z54" s="86">
        <v>0</v>
      </c>
      <c r="AA54" s="84"/>
      <c r="AB54" s="84"/>
    </row>
    <row r="55" spans="1:28" ht="14.25" customHeight="1">
      <c r="A55" s="210"/>
      <c r="B55" s="210"/>
      <c r="C55" s="210"/>
      <c r="D55" s="210"/>
      <c r="E55" s="86"/>
      <c r="F55" s="86"/>
      <c r="G55" s="86"/>
      <c r="H55" s="86"/>
      <c r="I55" s="86">
        <v>40</v>
      </c>
      <c r="J55" s="86"/>
      <c r="K55" s="86"/>
      <c r="L55" s="86"/>
      <c r="M55" s="86"/>
      <c r="N55" s="86"/>
      <c r="O55" s="86">
        <f>Q54+1</f>
        <v>10</v>
      </c>
      <c r="P55" s="86"/>
      <c r="Q55" s="86">
        <f t="shared" si="1"/>
        <v>10</v>
      </c>
      <c r="R55" s="86">
        <v>1</v>
      </c>
      <c r="S55" s="86">
        <f t="shared" si="2"/>
        <v>40</v>
      </c>
      <c r="T55" s="86">
        <v>7.98</v>
      </c>
      <c r="U55" s="86">
        <v>6.4</v>
      </c>
      <c r="V55" s="86">
        <v>7.98</v>
      </c>
      <c r="W55" s="86">
        <v>6.4</v>
      </c>
      <c r="X55" s="86" t="s">
        <v>169</v>
      </c>
      <c r="Y55" s="86">
        <f t="shared" si="3"/>
        <v>7.0999999999999994E-2</v>
      </c>
      <c r="Z55" s="86">
        <v>0</v>
      </c>
      <c r="AA55" s="84"/>
      <c r="AB55" s="84"/>
    </row>
    <row r="56" spans="1:28" ht="14.25" customHeight="1">
      <c r="A56" s="210"/>
      <c r="B56" s="210"/>
      <c r="C56" s="210"/>
      <c r="D56" s="210"/>
      <c r="E56" s="86"/>
      <c r="F56" s="86">
        <v>6</v>
      </c>
      <c r="G56" s="86">
        <v>8</v>
      </c>
      <c r="H56" s="86">
        <v>12</v>
      </c>
      <c r="I56" s="86">
        <v>6</v>
      </c>
      <c r="J56" s="86"/>
      <c r="K56" s="86"/>
      <c r="L56" s="86"/>
      <c r="M56" s="86"/>
      <c r="N56" s="86"/>
      <c r="O56" s="86">
        <f>Q55+1</f>
        <v>11</v>
      </c>
      <c r="P56" s="86"/>
      <c r="Q56" s="86">
        <f t="shared" si="1"/>
        <v>11</v>
      </c>
      <c r="R56" s="86">
        <v>1</v>
      </c>
      <c r="S56" s="86">
        <f t="shared" si="2"/>
        <v>32</v>
      </c>
      <c r="T56" s="86">
        <v>7.98</v>
      </c>
      <c r="U56" s="86">
        <v>6.4</v>
      </c>
      <c r="V56" s="86">
        <v>7.98</v>
      </c>
      <c r="W56" s="86">
        <v>6.4</v>
      </c>
      <c r="X56" s="86" t="s">
        <v>169</v>
      </c>
      <c r="Y56" s="86">
        <f t="shared" si="3"/>
        <v>7.0999999999999994E-2</v>
      </c>
      <c r="Z56" s="86">
        <v>0</v>
      </c>
      <c r="AA56" s="84"/>
      <c r="AB56" s="84"/>
    </row>
    <row r="57" spans="1:28" ht="14.25" customHeight="1">
      <c r="A57" s="88"/>
      <c r="B57" s="88"/>
      <c r="C57" s="205" t="s">
        <v>61</v>
      </c>
      <c r="D57" s="205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9">
        <f>SUM(R51:R56)</f>
        <v>6</v>
      </c>
      <c r="S57" s="89">
        <f>SUM(S51:S56)</f>
        <v>150</v>
      </c>
      <c r="T57" s="83">
        <v>35.54</v>
      </c>
      <c r="U57" s="83">
        <v>28.24</v>
      </c>
      <c r="V57" s="83">
        <v>35.54</v>
      </c>
      <c r="W57" s="83">
        <v>28.24</v>
      </c>
      <c r="X57" s="83"/>
      <c r="Y57" s="83">
        <f>SUM(Y51:Y56)</f>
        <v>0.27800000000000002</v>
      </c>
      <c r="Z57" s="83">
        <v>0</v>
      </c>
      <c r="AA57" s="84"/>
      <c r="AB57" s="84"/>
    </row>
    <row r="58" spans="1:28" ht="14.25" customHeight="1">
      <c r="A58" s="88"/>
      <c r="B58" s="88"/>
      <c r="C58" s="205" t="s">
        <v>170</v>
      </c>
      <c r="D58" s="205"/>
      <c r="E58" s="89">
        <v>18</v>
      </c>
      <c r="F58" s="89">
        <v>26</v>
      </c>
      <c r="G58" s="89">
        <v>28</v>
      </c>
      <c r="H58" s="89">
        <v>32</v>
      </c>
      <c r="I58" s="89">
        <v>46</v>
      </c>
      <c r="J58" s="89"/>
      <c r="K58" s="89"/>
      <c r="L58" s="89"/>
      <c r="M58" s="89"/>
      <c r="N58" s="89"/>
      <c r="O58" s="89">
        <f>SUM(E58:N58)</f>
        <v>150</v>
      </c>
      <c r="P58" s="89"/>
      <c r="Q58" s="89"/>
      <c r="R58" s="88"/>
      <c r="S58" s="88"/>
      <c r="T58" s="88"/>
      <c r="U58" s="88"/>
      <c r="V58" s="88"/>
      <c r="W58" s="88"/>
      <c r="X58" s="88"/>
      <c r="Y58" s="88"/>
      <c r="Z58" s="88"/>
      <c r="AA58" s="84"/>
      <c r="AB58" s="84"/>
    </row>
    <row r="59" spans="1:28" ht="14.25" customHeight="1">
      <c r="A59" s="88"/>
      <c r="B59" s="88"/>
      <c r="C59" s="205" t="s">
        <v>171</v>
      </c>
      <c r="D59" s="205"/>
      <c r="E59" s="89">
        <v>18</v>
      </c>
      <c r="F59" s="89">
        <v>26</v>
      </c>
      <c r="G59" s="89">
        <v>28</v>
      </c>
      <c r="H59" s="89">
        <v>32</v>
      </c>
      <c r="I59" s="89">
        <v>46</v>
      </c>
      <c r="J59" s="89"/>
      <c r="K59" s="89"/>
      <c r="L59" s="89"/>
      <c r="M59" s="89"/>
      <c r="N59" s="89"/>
      <c r="O59" s="89">
        <f>SUM(E59:N59)</f>
        <v>150</v>
      </c>
      <c r="P59" s="89"/>
      <c r="Q59" s="89"/>
      <c r="R59" s="83"/>
      <c r="S59" s="88"/>
      <c r="T59" s="88"/>
      <c r="U59" s="88"/>
      <c r="V59" s="88"/>
      <c r="W59" s="88"/>
      <c r="X59" s="88"/>
      <c r="Y59" s="88"/>
      <c r="Z59" s="88"/>
      <c r="AA59" s="84"/>
      <c r="AB59" s="84"/>
    </row>
    <row r="60" spans="1:28" ht="14.25" customHeight="1">
      <c r="A60" s="88"/>
      <c r="B60" s="88"/>
      <c r="C60" s="205" t="s">
        <v>172</v>
      </c>
      <c r="D60" s="205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4"/>
      <c r="AB60" s="84"/>
    </row>
    <row r="61" spans="1:28" ht="14.25" customHeight="1">
      <c r="A61" s="88"/>
      <c r="B61" s="88"/>
      <c r="C61" s="205" t="s">
        <v>173</v>
      </c>
      <c r="D61" s="205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90"/>
      <c r="P61" s="90"/>
      <c r="Q61" s="90"/>
      <c r="R61" s="88"/>
      <c r="S61" s="88"/>
      <c r="T61" s="88"/>
      <c r="U61" s="88"/>
      <c r="V61" s="88"/>
      <c r="W61" s="88"/>
      <c r="X61" s="88"/>
      <c r="Y61" s="88"/>
      <c r="Z61" s="88"/>
      <c r="AA61" s="84"/>
      <c r="AB61" s="84"/>
    </row>
    <row r="62" spans="1:28" ht="14.2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</row>
    <row r="63" spans="1:28" ht="14.25" customHeight="1">
      <c r="A63" s="206" t="s">
        <v>147</v>
      </c>
      <c r="B63" s="206" t="s">
        <v>148</v>
      </c>
      <c r="C63" s="207" t="s">
        <v>149</v>
      </c>
      <c r="D63" s="82" t="s">
        <v>150</v>
      </c>
      <c r="E63" s="208" t="s">
        <v>151</v>
      </c>
      <c r="F63" s="208"/>
      <c r="G63" s="208"/>
      <c r="H63" s="208"/>
      <c r="I63" s="208"/>
      <c r="J63" s="208"/>
      <c r="K63" s="208"/>
      <c r="L63" s="208"/>
      <c r="M63" s="208"/>
      <c r="N63" s="208"/>
      <c r="O63" s="209" t="s">
        <v>152</v>
      </c>
      <c r="P63" s="209"/>
      <c r="Q63" s="209"/>
      <c r="R63" s="82" t="s">
        <v>153</v>
      </c>
      <c r="S63" s="82" t="s">
        <v>153</v>
      </c>
      <c r="T63" s="82" t="s">
        <v>154</v>
      </c>
      <c r="U63" s="82" t="s">
        <v>155</v>
      </c>
      <c r="V63" s="82" t="s">
        <v>154</v>
      </c>
      <c r="W63" s="82" t="s">
        <v>155</v>
      </c>
      <c r="X63" s="82" t="s">
        <v>156</v>
      </c>
      <c r="Y63" s="206" t="s">
        <v>103</v>
      </c>
      <c r="Z63" s="82" t="s">
        <v>157</v>
      </c>
      <c r="AA63" s="84"/>
      <c r="AB63" s="84"/>
    </row>
    <row r="64" spans="1:28" ht="14.25" customHeight="1">
      <c r="A64" s="206"/>
      <c r="B64" s="206"/>
      <c r="C64" s="207"/>
      <c r="D64" s="85" t="s">
        <v>158</v>
      </c>
      <c r="E64" s="83" t="s">
        <v>174</v>
      </c>
      <c r="F64" s="83" t="s">
        <v>175</v>
      </c>
      <c r="G64" s="83" t="s">
        <v>176</v>
      </c>
      <c r="H64" s="83" t="s">
        <v>177</v>
      </c>
      <c r="I64" s="83" t="s">
        <v>178</v>
      </c>
      <c r="J64" s="83"/>
      <c r="K64" s="83"/>
      <c r="L64" s="83"/>
      <c r="M64" s="83"/>
      <c r="N64" s="83"/>
      <c r="O64" s="209"/>
      <c r="P64" s="209"/>
      <c r="Q64" s="209"/>
      <c r="R64" s="85" t="s">
        <v>164</v>
      </c>
      <c r="S64" s="85" t="s">
        <v>165</v>
      </c>
      <c r="T64" s="85" t="s">
        <v>156</v>
      </c>
      <c r="U64" s="85" t="s">
        <v>156</v>
      </c>
      <c r="V64" s="85" t="s">
        <v>166</v>
      </c>
      <c r="W64" s="85" t="s">
        <v>166</v>
      </c>
      <c r="X64" s="85" t="s">
        <v>102</v>
      </c>
      <c r="Y64" s="206"/>
      <c r="Z64" s="85" t="s">
        <v>167</v>
      </c>
      <c r="AA64" s="84"/>
      <c r="AB64" s="84"/>
    </row>
    <row r="65" spans="1:28" ht="14.25" customHeight="1">
      <c r="A65" s="210" t="s">
        <v>48</v>
      </c>
      <c r="B65" s="210" t="s">
        <v>49</v>
      </c>
      <c r="C65" s="210" t="s">
        <v>182</v>
      </c>
      <c r="D65" s="210" t="s">
        <v>47</v>
      </c>
      <c r="E65" s="86"/>
      <c r="F65" s="86"/>
      <c r="G65" s="86">
        <v>18</v>
      </c>
      <c r="H65" s="86"/>
      <c r="I65" s="86"/>
      <c r="J65" s="86"/>
      <c r="K65" s="86"/>
      <c r="L65" s="86"/>
      <c r="M65" s="86"/>
      <c r="N65" s="86"/>
      <c r="O65" s="86">
        <f>Q56+1</f>
        <v>12</v>
      </c>
      <c r="P65" s="86"/>
      <c r="Q65" s="86">
        <f>O65+R65-1</f>
        <v>12</v>
      </c>
      <c r="R65" s="86">
        <v>1</v>
      </c>
      <c r="S65" s="86">
        <f>SUM(E65:N65)*R65</f>
        <v>18</v>
      </c>
      <c r="T65" s="86">
        <v>4.62</v>
      </c>
      <c r="U65" s="86">
        <v>3.64</v>
      </c>
      <c r="V65" s="86">
        <v>4.62</v>
      </c>
      <c r="W65" s="86">
        <v>3.64</v>
      </c>
      <c r="X65" s="86" t="s">
        <v>181</v>
      </c>
      <c r="Y65" s="86">
        <f>IF(X65="595X289X390",0.071,IF(X65="597X292X191",0.034,IF(X65="560X600X390",0.132,IF(X65="560X400X390",0.088))))*R65</f>
        <v>3.4000000000000002E-2</v>
      </c>
      <c r="Z65" s="86">
        <v>0</v>
      </c>
      <c r="AA65" s="84"/>
      <c r="AB65" s="84"/>
    </row>
    <row r="66" spans="1:28" ht="14.25" customHeight="1">
      <c r="A66" s="210"/>
      <c r="B66" s="210"/>
      <c r="C66" s="210"/>
      <c r="D66" s="210"/>
      <c r="E66" s="86"/>
      <c r="F66" s="86"/>
      <c r="G66" s="86"/>
      <c r="H66" s="86">
        <v>20</v>
      </c>
      <c r="I66" s="86"/>
      <c r="J66" s="86"/>
      <c r="K66" s="86"/>
      <c r="L66" s="86"/>
      <c r="M66" s="86"/>
      <c r="N66" s="86"/>
      <c r="O66" s="86">
        <f>Q65+1</f>
        <v>13</v>
      </c>
      <c r="P66" s="86"/>
      <c r="Q66" s="86">
        <f>O66+R66-1</f>
        <v>13</v>
      </c>
      <c r="R66" s="86">
        <v>1</v>
      </c>
      <c r="S66" s="86">
        <f>SUM(E66:N66)*R66</f>
        <v>20</v>
      </c>
      <c r="T66" s="86">
        <v>5.46</v>
      </c>
      <c r="U66" s="86">
        <v>4.4800000000000004</v>
      </c>
      <c r="V66" s="86">
        <v>5.46</v>
      </c>
      <c r="W66" s="86">
        <v>4.4800000000000004</v>
      </c>
      <c r="X66" s="86" t="s">
        <v>181</v>
      </c>
      <c r="Y66" s="86">
        <f>IF(X66="595X289X390",0.071,IF(X66="597X292X191",0.034,IF(X66="560X600X390",0.132,IF(X66="560X400X390",0.088))))*R66</f>
        <v>3.4000000000000002E-2</v>
      </c>
      <c r="Z66" s="86">
        <v>0</v>
      </c>
      <c r="AA66" s="84"/>
      <c r="AB66" s="84"/>
    </row>
    <row r="67" spans="1:28" ht="14.25" customHeight="1">
      <c r="A67" s="210"/>
      <c r="B67" s="210"/>
      <c r="C67" s="210"/>
      <c r="D67" s="210"/>
      <c r="E67" s="86"/>
      <c r="F67" s="86"/>
      <c r="G67" s="86"/>
      <c r="H67" s="86"/>
      <c r="I67" s="86">
        <v>20</v>
      </c>
      <c r="J67" s="86"/>
      <c r="K67" s="86"/>
      <c r="L67" s="86"/>
      <c r="M67" s="86"/>
      <c r="N67" s="86"/>
      <c r="O67" s="86">
        <f>Q66+1</f>
        <v>14</v>
      </c>
      <c r="P67" s="86"/>
      <c r="Q67" s="86">
        <f>O67+R67-1</f>
        <v>14</v>
      </c>
      <c r="R67" s="86">
        <v>1</v>
      </c>
      <c r="S67" s="86">
        <f>SUM(E67:N67)*R67</f>
        <v>20</v>
      </c>
      <c r="T67" s="86">
        <v>6.38</v>
      </c>
      <c r="U67" s="86">
        <v>5.4</v>
      </c>
      <c r="V67" s="86">
        <v>6.38</v>
      </c>
      <c r="W67" s="86">
        <v>5.4</v>
      </c>
      <c r="X67" s="86" t="s">
        <v>181</v>
      </c>
      <c r="Y67" s="86">
        <f>IF(X67="595X289X390",0.071,IF(X67="597X292X191",0.034,IF(X67="560X600X390",0.132,IF(X67="560X400X390",0.088))))*R67</f>
        <v>3.4000000000000002E-2</v>
      </c>
      <c r="Z67" s="86">
        <v>0</v>
      </c>
      <c r="AA67" s="84"/>
      <c r="AB67" s="84"/>
    </row>
    <row r="68" spans="1:28" ht="14.25" customHeight="1">
      <c r="A68" s="210"/>
      <c r="B68" s="210"/>
      <c r="C68" s="210"/>
      <c r="D68" s="210"/>
      <c r="E68" s="86">
        <v>14</v>
      </c>
      <c r="F68" s="86">
        <v>16</v>
      </c>
      <c r="G68" s="86"/>
      <c r="H68" s="86">
        <v>4</v>
      </c>
      <c r="I68" s="86">
        <v>8</v>
      </c>
      <c r="J68" s="86"/>
      <c r="K68" s="86"/>
      <c r="L68" s="86"/>
      <c r="M68" s="86"/>
      <c r="N68" s="86"/>
      <c r="O68" s="86">
        <f>Q67+1</f>
        <v>15</v>
      </c>
      <c r="P68" s="86"/>
      <c r="Q68" s="86">
        <f>O68+R68-1</f>
        <v>15</v>
      </c>
      <c r="R68" s="86">
        <v>1</v>
      </c>
      <c r="S68" s="86">
        <f>SUM(E68:N68)*R68</f>
        <v>42</v>
      </c>
      <c r="T68" s="86">
        <v>8.66</v>
      </c>
      <c r="U68" s="86">
        <v>7.68</v>
      </c>
      <c r="V68" s="86">
        <v>8.66</v>
      </c>
      <c r="W68" s="86">
        <v>7.68</v>
      </c>
      <c r="X68" s="86" t="s">
        <v>169</v>
      </c>
      <c r="Y68" s="86">
        <f>IF(X68="595X289X390",0.071,IF(X68="597X292X191",0.034,IF(X68="560X600X390",0.132,IF(X68="560X400X390",0.088))))*R68</f>
        <v>7.0999999999999994E-2</v>
      </c>
      <c r="Z68" s="86">
        <v>0</v>
      </c>
      <c r="AA68" s="84"/>
      <c r="AB68" s="84"/>
    </row>
    <row r="69" spans="1:28" ht="14.25" customHeight="1">
      <c r="A69" s="210"/>
      <c r="B69" s="210"/>
      <c r="C69" s="210"/>
      <c r="D69" s="210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4"/>
      <c r="AB69" s="84"/>
    </row>
    <row r="70" spans="1:28" ht="14.25" customHeight="1">
      <c r="A70" s="88"/>
      <c r="B70" s="88"/>
      <c r="C70" s="205" t="s">
        <v>61</v>
      </c>
      <c r="D70" s="205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9">
        <f>SUM(R65:R68)</f>
        <v>4</v>
      </c>
      <c r="S70" s="89">
        <f>SUM(S65:S68)</f>
        <v>100</v>
      </c>
      <c r="T70" s="83">
        <v>35.619999999999997</v>
      </c>
      <c r="U70" s="83">
        <v>30.72</v>
      </c>
      <c r="V70" s="83">
        <v>35.619999999999997</v>
      </c>
      <c r="W70" s="83">
        <v>30.72</v>
      </c>
      <c r="X70" s="83"/>
      <c r="Y70" s="83">
        <f>SUM(Y65:Y69)</f>
        <v>0.17299999999999999</v>
      </c>
      <c r="Z70" s="83">
        <v>0</v>
      </c>
      <c r="AA70" s="84"/>
      <c r="AB70" s="84"/>
    </row>
    <row r="71" spans="1:28" ht="14.25" customHeight="1">
      <c r="A71" s="88"/>
      <c r="B71" s="88"/>
      <c r="C71" s="205" t="s">
        <v>170</v>
      </c>
      <c r="D71" s="205"/>
      <c r="E71" s="89">
        <v>14</v>
      </c>
      <c r="F71" s="89">
        <v>16</v>
      </c>
      <c r="G71" s="89">
        <v>18</v>
      </c>
      <c r="H71" s="89">
        <v>24</v>
      </c>
      <c r="I71" s="89">
        <v>28</v>
      </c>
      <c r="J71" s="89"/>
      <c r="K71" s="89"/>
      <c r="L71" s="89"/>
      <c r="M71" s="89"/>
      <c r="N71" s="89"/>
      <c r="O71" s="89">
        <f>SUM(E71:N71)</f>
        <v>100</v>
      </c>
      <c r="P71" s="89"/>
      <c r="Q71" s="89"/>
      <c r="R71" s="88"/>
      <c r="S71" s="88"/>
      <c r="T71" s="88"/>
      <c r="U71" s="88"/>
      <c r="V71" s="88"/>
      <c r="W71" s="88"/>
      <c r="X71" s="88"/>
      <c r="Y71" s="88"/>
      <c r="Z71" s="88"/>
      <c r="AA71" s="84"/>
      <c r="AB71" s="84"/>
    </row>
    <row r="72" spans="1:28" ht="14.25" customHeight="1">
      <c r="A72" s="88"/>
      <c r="B72" s="88"/>
      <c r="C72" s="205" t="s">
        <v>171</v>
      </c>
      <c r="D72" s="205"/>
      <c r="E72" s="89">
        <v>14</v>
      </c>
      <c r="F72" s="89">
        <v>16</v>
      </c>
      <c r="G72" s="89">
        <v>18</v>
      </c>
      <c r="H72" s="89">
        <v>24</v>
      </c>
      <c r="I72" s="89">
        <v>28</v>
      </c>
      <c r="J72" s="89"/>
      <c r="K72" s="89"/>
      <c r="L72" s="89"/>
      <c r="M72" s="89"/>
      <c r="N72" s="89"/>
      <c r="O72" s="89">
        <f>SUM(E72:N72)</f>
        <v>100</v>
      </c>
      <c r="P72" s="89"/>
      <c r="Q72" s="89"/>
      <c r="R72" s="83"/>
      <c r="S72" s="88"/>
      <c r="T72" s="88"/>
      <c r="U72" s="88"/>
      <c r="V72" s="88"/>
      <c r="W72" s="88"/>
      <c r="X72" s="88"/>
      <c r="Y72" s="88"/>
      <c r="Z72" s="88"/>
      <c r="AA72" s="84"/>
      <c r="AB72" s="84"/>
    </row>
    <row r="73" spans="1:28" ht="14.25" customHeight="1">
      <c r="A73" s="88"/>
      <c r="B73" s="88"/>
      <c r="C73" s="205" t="s">
        <v>172</v>
      </c>
      <c r="D73" s="205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4"/>
      <c r="AB73" s="84"/>
    </row>
    <row r="74" spans="1:28" ht="14.25" customHeight="1">
      <c r="A74" s="88"/>
      <c r="B74" s="88"/>
      <c r="C74" s="205" t="s">
        <v>173</v>
      </c>
      <c r="D74" s="205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90"/>
      <c r="P74" s="90"/>
      <c r="Q74" s="90"/>
      <c r="R74" s="88"/>
      <c r="S74" s="88"/>
      <c r="T74" s="88"/>
      <c r="U74" s="88"/>
      <c r="V74" s="88"/>
      <c r="W74" s="88"/>
      <c r="X74" s="88"/>
      <c r="Y74" s="88"/>
      <c r="Z74" s="88"/>
      <c r="AA74" s="84"/>
      <c r="AB74" s="84"/>
    </row>
    <row r="75" spans="1:28" ht="14.2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</row>
    <row r="76" spans="1:28" ht="14.25" customHeight="1">
      <c r="A76" s="206" t="s">
        <v>147</v>
      </c>
      <c r="B76" s="206" t="s">
        <v>148</v>
      </c>
      <c r="C76" s="207" t="s">
        <v>149</v>
      </c>
      <c r="D76" s="82" t="s">
        <v>150</v>
      </c>
      <c r="E76" s="208" t="s">
        <v>151</v>
      </c>
      <c r="F76" s="208"/>
      <c r="G76" s="208"/>
      <c r="H76" s="208"/>
      <c r="I76" s="208"/>
      <c r="J76" s="208"/>
      <c r="K76" s="208"/>
      <c r="L76" s="208"/>
      <c r="M76" s="208"/>
      <c r="N76" s="208"/>
      <c r="O76" s="209" t="s">
        <v>152</v>
      </c>
      <c r="P76" s="209"/>
      <c r="Q76" s="209"/>
      <c r="R76" s="82" t="s">
        <v>153</v>
      </c>
      <c r="S76" s="82" t="s">
        <v>153</v>
      </c>
      <c r="T76" s="82" t="s">
        <v>154</v>
      </c>
      <c r="U76" s="82" t="s">
        <v>155</v>
      </c>
      <c r="V76" s="82" t="s">
        <v>154</v>
      </c>
      <c r="W76" s="82" t="s">
        <v>155</v>
      </c>
      <c r="X76" s="82" t="s">
        <v>156</v>
      </c>
      <c r="Y76" s="206" t="s">
        <v>103</v>
      </c>
      <c r="Z76" s="82" t="s">
        <v>157</v>
      </c>
      <c r="AA76" s="84"/>
      <c r="AB76" s="84"/>
    </row>
    <row r="77" spans="1:28" ht="14.25" customHeight="1">
      <c r="A77" s="206"/>
      <c r="B77" s="206"/>
      <c r="C77" s="207"/>
      <c r="D77" s="85" t="s">
        <v>158</v>
      </c>
      <c r="E77" s="83" t="s">
        <v>183</v>
      </c>
      <c r="F77" s="83" t="s">
        <v>184</v>
      </c>
      <c r="G77" s="83" t="s">
        <v>185</v>
      </c>
      <c r="H77" s="83" t="s">
        <v>186</v>
      </c>
      <c r="I77" s="83" t="s">
        <v>187</v>
      </c>
      <c r="J77" s="83" t="s">
        <v>188</v>
      </c>
      <c r="K77" s="83" t="s">
        <v>189</v>
      </c>
      <c r="L77" s="83" t="s">
        <v>190</v>
      </c>
      <c r="M77" s="83"/>
      <c r="N77" s="83"/>
      <c r="O77" s="209"/>
      <c r="P77" s="209"/>
      <c r="Q77" s="209"/>
      <c r="R77" s="85" t="s">
        <v>164</v>
      </c>
      <c r="S77" s="85" t="s">
        <v>165</v>
      </c>
      <c r="T77" s="85" t="s">
        <v>156</v>
      </c>
      <c r="U77" s="85" t="s">
        <v>156</v>
      </c>
      <c r="V77" s="85" t="s">
        <v>166</v>
      </c>
      <c r="W77" s="85" t="s">
        <v>166</v>
      </c>
      <c r="X77" s="85" t="s">
        <v>102</v>
      </c>
      <c r="Y77" s="206"/>
      <c r="Z77" s="85" t="s">
        <v>167</v>
      </c>
      <c r="AA77" s="84"/>
      <c r="AB77" s="84"/>
    </row>
    <row r="78" spans="1:28" ht="14.25" customHeight="1">
      <c r="A78" s="210" t="s">
        <v>51</v>
      </c>
      <c r="B78" s="210" t="s">
        <v>43</v>
      </c>
      <c r="C78" s="210" t="s">
        <v>191</v>
      </c>
      <c r="D78" s="210" t="s">
        <v>50</v>
      </c>
      <c r="E78" s="86">
        <v>30</v>
      </c>
      <c r="F78" s="86"/>
      <c r="G78" s="86"/>
      <c r="H78" s="86"/>
      <c r="I78" s="86"/>
      <c r="J78" s="86"/>
      <c r="K78" s="86"/>
      <c r="L78" s="86"/>
      <c r="M78" s="86"/>
      <c r="N78" s="86"/>
      <c r="O78" s="86">
        <f>Q68+1</f>
        <v>16</v>
      </c>
      <c r="P78" s="86"/>
      <c r="Q78" s="86">
        <f>O78+R78-1</f>
        <v>16</v>
      </c>
      <c r="R78" s="86">
        <v>1</v>
      </c>
      <c r="S78" s="86">
        <f>SUM(E78:N78)*R78</f>
        <v>30</v>
      </c>
      <c r="T78" s="86">
        <v>17.420000000000002</v>
      </c>
      <c r="U78" s="86">
        <v>15.84</v>
      </c>
      <c r="V78" s="86">
        <v>17.420000000000002</v>
      </c>
      <c r="W78" s="86">
        <v>15.84</v>
      </c>
      <c r="X78" s="86" t="s">
        <v>169</v>
      </c>
      <c r="Y78" s="86">
        <f>IF(X78="595X289X390",0.071,IF(X78="597X292X191",0.034,IF(X78="560X600X390",0.132,IF(X78="560X400X390",0.088))))*R78</f>
        <v>7.0999999999999994E-2</v>
      </c>
      <c r="Z78" s="86">
        <v>0</v>
      </c>
      <c r="AA78" s="84"/>
      <c r="AB78" s="84"/>
    </row>
    <row r="79" spans="1:28" ht="14.25" customHeight="1">
      <c r="A79" s="210"/>
      <c r="B79" s="210"/>
      <c r="C79" s="210"/>
      <c r="D79" s="210"/>
      <c r="E79" s="86"/>
      <c r="F79" s="86">
        <v>60</v>
      </c>
      <c r="G79" s="86"/>
      <c r="H79" s="86"/>
      <c r="I79" s="86"/>
      <c r="J79" s="86"/>
      <c r="K79" s="86"/>
      <c r="L79" s="86"/>
      <c r="M79" s="86"/>
      <c r="N79" s="86"/>
      <c r="O79" s="86">
        <f>Q78+1</f>
        <v>17</v>
      </c>
      <c r="P79" s="86"/>
      <c r="Q79" s="86">
        <f>O79+R79-1</f>
        <v>17</v>
      </c>
      <c r="R79" s="86">
        <v>1</v>
      </c>
      <c r="S79" s="86">
        <f>SUM(E79:N79)*R79</f>
        <v>60</v>
      </c>
      <c r="T79" s="86">
        <v>24.38</v>
      </c>
      <c r="U79" s="86">
        <v>22.8</v>
      </c>
      <c r="V79" s="86">
        <v>24.38</v>
      </c>
      <c r="W79" s="86">
        <v>22.8</v>
      </c>
      <c r="X79" s="86" t="s">
        <v>169</v>
      </c>
      <c r="Y79" s="86">
        <f>IF(X79="595X289X390",0.071,IF(X79="597X292X191",0.034,IF(X79="560X600X390",0.132,IF(X79="560X400X390",0.088))))*R79</f>
        <v>7.0999999999999994E-2</v>
      </c>
      <c r="Z79" s="86">
        <v>0</v>
      </c>
      <c r="AA79" s="84"/>
      <c r="AB79" s="84"/>
    </row>
    <row r="80" spans="1:28" ht="14.25" customHeight="1">
      <c r="A80" s="210"/>
      <c r="B80" s="210"/>
      <c r="C80" s="210"/>
      <c r="D80" s="210"/>
      <c r="E80" s="86"/>
      <c r="F80" s="86"/>
      <c r="G80" s="86">
        <v>30</v>
      </c>
      <c r="H80" s="86"/>
      <c r="I80" s="86"/>
      <c r="J80" s="86"/>
      <c r="K80" s="86"/>
      <c r="L80" s="86"/>
      <c r="M80" s="86"/>
      <c r="N80" s="86"/>
      <c r="O80" s="86">
        <f>Q79+1</f>
        <v>18</v>
      </c>
      <c r="P80" s="86"/>
      <c r="Q80" s="86">
        <f>O80+R80-1</f>
        <v>18</v>
      </c>
      <c r="R80" s="86">
        <v>1</v>
      </c>
      <c r="S80" s="86">
        <f>SUM(E80:N80)*R80</f>
        <v>30</v>
      </c>
      <c r="T80" s="86">
        <v>4.78</v>
      </c>
      <c r="U80" s="86">
        <v>3.8</v>
      </c>
      <c r="V80" s="86">
        <v>4.78</v>
      </c>
      <c r="W80" s="86">
        <v>3.8</v>
      </c>
      <c r="X80" s="86" t="s">
        <v>181</v>
      </c>
      <c r="Y80" s="86">
        <f>IF(X80="595X289X390",0.071,IF(X80="597X292X191",0.034,IF(X80="560X600X390",0.132,IF(X80="560X400X390",0.088))))*R80</f>
        <v>3.4000000000000002E-2</v>
      </c>
      <c r="Z80" s="86">
        <v>0</v>
      </c>
      <c r="AA80" s="84"/>
      <c r="AB80" s="84"/>
    </row>
    <row r="81" spans="1:28" ht="14.25" customHeight="1">
      <c r="A81" s="210"/>
      <c r="B81" s="210"/>
      <c r="C81" s="210"/>
      <c r="D81" s="210"/>
      <c r="E81" s="86">
        <v>14</v>
      </c>
      <c r="F81" s="86">
        <v>10</v>
      </c>
      <c r="G81" s="86">
        <v>20</v>
      </c>
      <c r="H81" s="86"/>
      <c r="I81" s="86">
        <v>6</v>
      </c>
      <c r="J81" s="86">
        <v>6</v>
      </c>
      <c r="K81" s="86"/>
      <c r="L81" s="86"/>
      <c r="M81" s="86"/>
      <c r="N81" s="86"/>
      <c r="O81" s="86">
        <f>Q80+1</f>
        <v>19</v>
      </c>
      <c r="P81" s="86"/>
      <c r="Q81" s="86">
        <f>O81+R81-1</f>
        <v>19</v>
      </c>
      <c r="R81" s="86">
        <v>1</v>
      </c>
      <c r="S81" s="86">
        <f>SUM(E81:N81)*R81</f>
        <v>56</v>
      </c>
      <c r="T81" s="86">
        <v>21.58</v>
      </c>
      <c r="U81" s="86">
        <v>20</v>
      </c>
      <c r="V81" s="86">
        <v>21.58</v>
      </c>
      <c r="W81" s="86">
        <v>20</v>
      </c>
      <c r="X81" s="86" t="s">
        <v>169</v>
      </c>
      <c r="Y81" s="86">
        <f>IF(X81="595X289X390",0.071,IF(X81="597X292X191",0.034,IF(X81="560X600X390",0.132,IF(X81="560X400X390",0.088))))*R81</f>
        <v>7.0999999999999994E-2</v>
      </c>
      <c r="Z81" s="86">
        <v>0</v>
      </c>
      <c r="AA81" s="84"/>
      <c r="AB81" s="84"/>
    </row>
    <row r="82" spans="1:28" ht="14.25" customHeight="1">
      <c r="A82" s="210"/>
      <c r="B82" s="210"/>
      <c r="C82" s="210"/>
      <c r="D82" s="210"/>
      <c r="E82" s="86"/>
      <c r="F82" s="86"/>
      <c r="G82" s="86"/>
      <c r="H82" s="86">
        <v>20</v>
      </c>
      <c r="I82" s="86"/>
      <c r="J82" s="86"/>
      <c r="K82" s="86">
        <v>5</v>
      </c>
      <c r="L82" s="86">
        <v>5</v>
      </c>
      <c r="M82" s="86"/>
      <c r="N82" s="86"/>
      <c r="O82" s="86">
        <f>Q81+1</f>
        <v>20</v>
      </c>
      <c r="P82" s="86"/>
      <c r="Q82" s="86">
        <f>O82+R82-1</f>
        <v>20</v>
      </c>
      <c r="R82" s="86">
        <v>1</v>
      </c>
      <c r="S82" s="86">
        <f>SUM(E82:N82)*R82</f>
        <v>30</v>
      </c>
      <c r="T82" s="86">
        <v>9.3800000000000008</v>
      </c>
      <c r="U82" s="86">
        <v>8.4</v>
      </c>
      <c r="V82" s="86">
        <v>9.3800000000000008</v>
      </c>
      <c r="W82" s="86">
        <v>8.4</v>
      </c>
      <c r="X82" s="86" t="s">
        <v>181</v>
      </c>
      <c r="Y82" s="86">
        <f>IF(X82="595X289X390",0.071,IF(X82="597X292X191",0.034,IF(X82="560X600X390",0.132,IF(X82="560X400X390",0.088))))*R82</f>
        <v>3.4000000000000002E-2</v>
      </c>
      <c r="Z82" s="86">
        <v>0</v>
      </c>
      <c r="AA82" s="84"/>
      <c r="AB82" s="84"/>
    </row>
    <row r="83" spans="1:28" ht="14.25" customHeight="1">
      <c r="A83" s="210"/>
      <c r="B83" s="210"/>
      <c r="C83" s="210"/>
      <c r="D83" s="210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4"/>
      <c r="AB83" s="84"/>
    </row>
    <row r="84" spans="1:28" ht="14.25" customHeight="1">
      <c r="A84" s="88"/>
      <c r="B84" s="88"/>
      <c r="C84" s="205" t="s">
        <v>61</v>
      </c>
      <c r="D84" s="205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9">
        <f>SUM(R78:R82)</f>
        <v>5</v>
      </c>
      <c r="S84" s="89">
        <f>SUM(S78:S82)</f>
        <v>206</v>
      </c>
      <c r="T84" s="83">
        <v>91.76</v>
      </c>
      <c r="U84" s="83">
        <v>81.14</v>
      </c>
      <c r="V84" s="83">
        <v>91.76</v>
      </c>
      <c r="W84" s="83">
        <v>81.14</v>
      </c>
      <c r="X84" s="83"/>
      <c r="Y84" s="83">
        <f>SUM(Y78:Y83)</f>
        <v>0.28100000000000003</v>
      </c>
      <c r="Z84" s="83">
        <v>0</v>
      </c>
      <c r="AA84" s="84"/>
      <c r="AB84" s="84"/>
    </row>
    <row r="85" spans="1:28" ht="14.25" customHeight="1">
      <c r="A85" s="88"/>
      <c r="B85" s="88"/>
      <c r="C85" s="205" t="s">
        <v>170</v>
      </c>
      <c r="D85" s="205"/>
      <c r="E85" s="89">
        <v>44</v>
      </c>
      <c r="F85" s="89">
        <v>70</v>
      </c>
      <c r="G85" s="89">
        <v>50</v>
      </c>
      <c r="H85" s="89">
        <v>20</v>
      </c>
      <c r="I85" s="89">
        <v>6</v>
      </c>
      <c r="J85" s="89">
        <v>6</v>
      </c>
      <c r="K85" s="89">
        <v>5</v>
      </c>
      <c r="L85" s="89">
        <v>5</v>
      </c>
      <c r="M85" s="89"/>
      <c r="N85" s="89"/>
      <c r="O85" s="89">
        <f>SUM(E85:N85)</f>
        <v>206</v>
      </c>
      <c r="P85" s="89"/>
      <c r="Q85" s="89"/>
      <c r="R85" s="88"/>
      <c r="S85" s="88"/>
      <c r="T85" s="88"/>
      <c r="U85" s="88"/>
      <c r="V85" s="88"/>
      <c r="W85" s="88"/>
      <c r="X85" s="88"/>
      <c r="Y85" s="88"/>
      <c r="Z85" s="88"/>
      <c r="AA85" s="84"/>
      <c r="AB85" s="84"/>
    </row>
    <row r="86" spans="1:28" ht="14.25" customHeight="1">
      <c r="A86" s="88"/>
      <c r="B86" s="88"/>
      <c r="C86" s="205" t="s">
        <v>171</v>
      </c>
      <c r="D86" s="205"/>
      <c r="E86" s="89">
        <v>44</v>
      </c>
      <c r="F86" s="89">
        <v>70</v>
      </c>
      <c r="G86" s="89">
        <v>50</v>
      </c>
      <c r="H86" s="89">
        <v>20</v>
      </c>
      <c r="I86" s="89">
        <v>6</v>
      </c>
      <c r="J86" s="89">
        <v>6</v>
      </c>
      <c r="K86" s="89">
        <v>5</v>
      </c>
      <c r="L86" s="89">
        <v>5</v>
      </c>
      <c r="M86" s="89"/>
      <c r="N86" s="89"/>
      <c r="O86" s="89">
        <f>SUM(E86:N86)</f>
        <v>206</v>
      </c>
      <c r="P86" s="89"/>
      <c r="Q86" s="89"/>
      <c r="R86" s="83"/>
      <c r="S86" s="88"/>
      <c r="T86" s="88"/>
      <c r="U86" s="88"/>
      <c r="V86" s="88"/>
      <c r="W86" s="88"/>
      <c r="X86" s="88"/>
      <c r="Y86" s="88"/>
      <c r="Z86" s="88"/>
      <c r="AA86" s="84"/>
      <c r="AB86" s="84"/>
    </row>
    <row r="87" spans="1:28" ht="14.25" customHeight="1">
      <c r="A87" s="88"/>
      <c r="B87" s="88"/>
      <c r="C87" s="205" t="s">
        <v>172</v>
      </c>
      <c r="D87" s="205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4"/>
      <c r="AB87" s="84"/>
    </row>
    <row r="88" spans="1:28" ht="14.25" customHeight="1">
      <c r="A88" s="88"/>
      <c r="B88" s="88"/>
      <c r="C88" s="205" t="s">
        <v>173</v>
      </c>
      <c r="D88" s="205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90"/>
      <c r="P88" s="90"/>
      <c r="Q88" s="90"/>
      <c r="R88" s="88"/>
      <c r="S88" s="88"/>
      <c r="T88" s="88"/>
      <c r="U88" s="88"/>
      <c r="V88" s="88"/>
      <c r="W88" s="88"/>
      <c r="X88" s="88"/>
      <c r="Y88" s="88"/>
      <c r="Z88" s="88"/>
      <c r="AA88" s="84"/>
      <c r="AB88" s="84"/>
    </row>
    <row r="89" spans="1:28" ht="14.2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</row>
    <row r="90" spans="1:28" ht="14.25" customHeight="1">
      <c r="A90" s="206" t="s">
        <v>147</v>
      </c>
      <c r="B90" s="206" t="s">
        <v>148</v>
      </c>
      <c r="C90" s="207" t="s">
        <v>149</v>
      </c>
      <c r="D90" s="82" t="s">
        <v>150</v>
      </c>
      <c r="E90" s="208" t="s">
        <v>151</v>
      </c>
      <c r="F90" s="208"/>
      <c r="G90" s="208"/>
      <c r="H90" s="208"/>
      <c r="I90" s="208"/>
      <c r="J90" s="208"/>
      <c r="K90" s="208"/>
      <c r="L90" s="208"/>
      <c r="M90" s="208"/>
      <c r="N90" s="208"/>
      <c r="O90" s="209" t="s">
        <v>152</v>
      </c>
      <c r="P90" s="209"/>
      <c r="Q90" s="209"/>
      <c r="R90" s="82" t="s">
        <v>153</v>
      </c>
      <c r="S90" s="82" t="s">
        <v>153</v>
      </c>
      <c r="T90" s="82" t="s">
        <v>154</v>
      </c>
      <c r="U90" s="82" t="s">
        <v>155</v>
      </c>
      <c r="V90" s="82" t="s">
        <v>154</v>
      </c>
      <c r="W90" s="82" t="s">
        <v>155</v>
      </c>
      <c r="X90" s="82" t="s">
        <v>156</v>
      </c>
      <c r="Y90" s="206" t="s">
        <v>103</v>
      </c>
      <c r="Z90" s="82" t="s">
        <v>157</v>
      </c>
      <c r="AA90" s="84"/>
      <c r="AB90" s="84"/>
    </row>
    <row r="91" spans="1:28" ht="14.25" customHeight="1">
      <c r="A91" s="206"/>
      <c r="B91" s="206"/>
      <c r="C91" s="207"/>
      <c r="D91" s="85" t="s">
        <v>158</v>
      </c>
      <c r="E91" s="83" t="s">
        <v>183</v>
      </c>
      <c r="F91" s="83" t="s">
        <v>184</v>
      </c>
      <c r="G91" s="83" t="s">
        <v>185</v>
      </c>
      <c r="H91" s="83" t="s">
        <v>186</v>
      </c>
      <c r="I91" s="83" t="s">
        <v>187</v>
      </c>
      <c r="J91" s="83" t="s">
        <v>188</v>
      </c>
      <c r="K91" s="83" t="s">
        <v>189</v>
      </c>
      <c r="L91" s="83" t="s">
        <v>190</v>
      </c>
      <c r="M91" s="83"/>
      <c r="N91" s="83"/>
      <c r="O91" s="209"/>
      <c r="P91" s="209"/>
      <c r="Q91" s="209"/>
      <c r="R91" s="85" t="s">
        <v>164</v>
      </c>
      <c r="S91" s="85" t="s">
        <v>165</v>
      </c>
      <c r="T91" s="85" t="s">
        <v>156</v>
      </c>
      <c r="U91" s="85" t="s">
        <v>156</v>
      </c>
      <c r="V91" s="85" t="s">
        <v>166</v>
      </c>
      <c r="W91" s="85" t="s">
        <v>166</v>
      </c>
      <c r="X91" s="85" t="s">
        <v>102</v>
      </c>
      <c r="Y91" s="206"/>
      <c r="Z91" s="85" t="s">
        <v>167</v>
      </c>
      <c r="AA91" s="84"/>
      <c r="AB91" s="84"/>
    </row>
    <row r="92" spans="1:28" ht="14.25" customHeight="1">
      <c r="A92" s="210" t="s">
        <v>53</v>
      </c>
      <c r="B92" s="210" t="s">
        <v>46</v>
      </c>
      <c r="C92" s="210" t="s">
        <v>192</v>
      </c>
      <c r="D92" s="210" t="s">
        <v>52</v>
      </c>
      <c r="E92" s="86">
        <v>28</v>
      </c>
      <c r="F92" s="86"/>
      <c r="G92" s="86"/>
      <c r="H92" s="86"/>
      <c r="I92" s="86"/>
      <c r="J92" s="86"/>
      <c r="K92" s="86"/>
      <c r="L92" s="86"/>
      <c r="M92" s="86"/>
      <c r="N92" s="86"/>
      <c r="O92" s="86">
        <f>Q82+1</f>
        <v>21</v>
      </c>
      <c r="P92" s="86"/>
      <c r="Q92" s="86">
        <f t="shared" ref="Q92:Q102" si="4">O92+R92-1</f>
        <v>21</v>
      </c>
      <c r="R92" s="86">
        <v>1</v>
      </c>
      <c r="S92" s="86">
        <f t="shared" ref="S92:S102" si="5">SUM(E92:N92)*R92</f>
        <v>28</v>
      </c>
      <c r="T92" s="86">
        <v>13.62</v>
      </c>
      <c r="U92" s="86">
        <v>12.04</v>
      </c>
      <c r="V92" s="86">
        <v>13.62</v>
      </c>
      <c r="W92" s="86">
        <v>12.04</v>
      </c>
      <c r="X92" s="86" t="s">
        <v>169</v>
      </c>
      <c r="Y92" s="86">
        <f t="shared" ref="Y92:Y102" si="6">IF(X92="595X289X390",0.071,IF(X92="597X292X191",0.034,IF(X92="560X600X390",0.132,IF(X92="560X400X390",0.088))))*R92</f>
        <v>7.0999999999999994E-2</v>
      </c>
      <c r="Z92" s="86">
        <v>0</v>
      </c>
      <c r="AA92" s="84"/>
      <c r="AB92" s="84"/>
    </row>
    <row r="93" spans="1:28" ht="14.25" customHeight="1">
      <c r="A93" s="210"/>
      <c r="B93" s="210"/>
      <c r="C93" s="210"/>
      <c r="D93" s="210"/>
      <c r="E93" s="86"/>
      <c r="F93" s="86">
        <v>30</v>
      </c>
      <c r="G93" s="86"/>
      <c r="H93" s="86"/>
      <c r="I93" s="86"/>
      <c r="J93" s="86"/>
      <c r="K93" s="86"/>
      <c r="L93" s="86"/>
      <c r="M93" s="86"/>
      <c r="N93" s="86"/>
      <c r="O93" s="86">
        <f t="shared" ref="O93:O102" si="7">Q92+1</f>
        <v>22</v>
      </c>
      <c r="P93" s="86"/>
      <c r="Q93" s="86">
        <f t="shared" si="4"/>
        <v>22</v>
      </c>
      <c r="R93" s="86">
        <v>1</v>
      </c>
      <c r="S93" s="86">
        <f t="shared" si="5"/>
        <v>30</v>
      </c>
      <c r="T93" s="86">
        <v>19.579999999999998</v>
      </c>
      <c r="U93" s="86">
        <v>18</v>
      </c>
      <c r="V93" s="86">
        <v>19.579999999999998</v>
      </c>
      <c r="W93" s="86">
        <v>18</v>
      </c>
      <c r="X93" s="86" t="s">
        <v>169</v>
      </c>
      <c r="Y93" s="86">
        <f t="shared" si="6"/>
        <v>7.0999999999999994E-2</v>
      </c>
      <c r="Z93" s="86">
        <v>0</v>
      </c>
      <c r="AA93" s="84"/>
      <c r="AB93" s="84"/>
    </row>
    <row r="94" spans="1:28" ht="14.25" customHeight="1">
      <c r="A94" s="210"/>
      <c r="B94" s="210"/>
      <c r="C94" s="210"/>
      <c r="D94" s="210"/>
      <c r="E94" s="86"/>
      <c r="F94" s="86">
        <v>14</v>
      </c>
      <c r="G94" s="86"/>
      <c r="H94" s="86"/>
      <c r="I94" s="86"/>
      <c r="J94" s="86"/>
      <c r="K94" s="86"/>
      <c r="L94" s="86"/>
      <c r="M94" s="86"/>
      <c r="N94" s="86"/>
      <c r="O94" s="86">
        <f t="shared" si="7"/>
        <v>23</v>
      </c>
      <c r="P94" s="86"/>
      <c r="Q94" s="86">
        <f t="shared" si="4"/>
        <v>23</v>
      </c>
      <c r="R94" s="86">
        <v>1</v>
      </c>
      <c r="S94" s="86">
        <f t="shared" si="5"/>
        <v>14</v>
      </c>
      <c r="T94" s="86">
        <v>7.28</v>
      </c>
      <c r="U94" s="86">
        <v>6.3</v>
      </c>
      <c r="V94" s="86">
        <v>7.28</v>
      </c>
      <c r="W94" s="86">
        <v>6.3</v>
      </c>
      <c r="X94" s="86" t="s">
        <v>181</v>
      </c>
      <c r="Y94" s="86">
        <f t="shared" si="6"/>
        <v>3.4000000000000002E-2</v>
      </c>
      <c r="Z94" s="86">
        <v>0</v>
      </c>
      <c r="AA94" s="84"/>
      <c r="AB94" s="84"/>
    </row>
    <row r="95" spans="1:28" ht="14.25" customHeight="1">
      <c r="A95" s="210"/>
      <c r="B95" s="210"/>
      <c r="C95" s="210"/>
      <c r="D95" s="210"/>
      <c r="E95" s="86"/>
      <c r="F95" s="86"/>
      <c r="G95" s="86">
        <v>30</v>
      </c>
      <c r="H95" s="86"/>
      <c r="I95" s="86"/>
      <c r="J95" s="86"/>
      <c r="K95" s="86"/>
      <c r="L95" s="86"/>
      <c r="M95" s="86"/>
      <c r="N95" s="86"/>
      <c r="O95" s="86">
        <f t="shared" si="7"/>
        <v>24</v>
      </c>
      <c r="P95" s="86"/>
      <c r="Q95" s="86">
        <f t="shared" si="4"/>
        <v>25</v>
      </c>
      <c r="R95" s="86">
        <v>2</v>
      </c>
      <c r="S95" s="86">
        <f t="shared" si="5"/>
        <v>60</v>
      </c>
      <c r="T95" s="86">
        <v>20.38</v>
      </c>
      <c r="U95" s="86">
        <v>18.8</v>
      </c>
      <c r="V95" s="86">
        <v>40.76</v>
      </c>
      <c r="W95" s="86">
        <v>37.6</v>
      </c>
      <c r="X95" s="86" t="s">
        <v>169</v>
      </c>
      <c r="Y95" s="86">
        <f t="shared" si="6"/>
        <v>0.14199999999999999</v>
      </c>
      <c r="Z95" s="86">
        <v>0</v>
      </c>
      <c r="AA95" s="84"/>
      <c r="AB95" s="84"/>
    </row>
    <row r="96" spans="1:28" ht="14.25" customHeight="1">
      <c r="A96" s="210"/>
      <c r="B96" s="210"/>
      <c r="C96" s="210"/>
      <c r="D96" s="210"/>
      <c r="E96" s="86"/>
      <c r="F96" s="86"/>
      <c r="G96" s="86">
        <v>14</v>
      </c>
      <c r="H96" s="86"/>
      <c r="I96" s="86"/>
      <c r="J96" s="86"/>
      <c r="K96" s="86"/>
      <c r="L96" s="86"/>
      <c r="M96" s="86"/>
      <c r="N96" s="86"/>
      <c r="O96" s="86">
        <f t="shared" si="7"/>
        <v>26</v>
      </c>
      <c r="P96" s="86"/>
      <c r="Q96" s="86">
        <f t="shared" si="4"/>
        <v>26</v>
      </c>
      <c r="R96" s="86">
        <v>1</v>
      </c>
      <c r="S96" s="86">
        <f t="shared" si="5"/>
        <v>14</v>
      </c>
      <c r="T96" s="86">
        <v>21.18</v>
      </c>
      <c r="U96" s="86">
        <v>19.600000000000001</v>
      </c>
      <c r="V96" s="86">
        <v>21.18</v>
      </c>
      <c r="W96" s="86">
        <v>19.600000000000001</v>
      </c>
      <c r="X96" s="86" t="s">
        <v>181</v>
      </c>
      <c r="Y96" s="86">
        <f t="shared" si="6"/>
        <v>3.4000000000000002E-2</v>
      </c>
      <c r="Z96" s="86">
        <v>0</v>
      </c>
      <c r="AA96" s="84"/>
      <c r="AB96" s="84"/>
    </row>
    <row r="97" spans="1:28" ht="14.25" customHeight="1">
      <c r="A97" s="210"/>
      <c r="B97" s="210"/>
      <c r="C97" s="210"/>
      <c r="D97" s="210"/>
      <c r="E97" s="86"/>
      <c r="F97" s="86"/>
      <c r="G97" s="86"/>
      <c r="H97" s="86">
        <v>30</v>
      </c>
      <c r="I97" s="86"/>
      <c r="J97" s="86"/>
      <c r="K97" s="86"/>
      <c r="L97" s="86"/>
      <c r="M97" s="86"/>
      <c r="N97" s="86"/>
      <c r="O97" s="86">
        <f t="shared" si="7"/>
        <v>27</v>
      </c>
      <c r="P97" s="86"/>
      <c r="Q97" s="86">
        <f t="shared" si="4"/>
        <v>28</v>
      </c>
      <c r="R97" s="86">
        <v>2</v>
      </c>
      <c r="S97" s="86">
        <f t="shared" si="5"/>
        <v>60</v>
      </c>
      <c r="T97" s="86">
        <v>10.78</v>
      </c>
      <c r="U97" s="86">
        <v>9.8000000000000007</v>
      </c>
      <c r="V97" s="86">
        <v>10.78</v>
      </c>
      <c r="W97" s="86">
        <v>9.8000000000000007</v>
      </c>
      <c r="X97" s="86" t="s">
        <v>169</v>
      </c>
      <c r="Y97" s="86">
        <f t="shared" si="6"/>
        <v>0.14199999999999999</v>
      </c>
      <c r="Z97" s="86">
        <v>0</v>
      </c>
      <c r="AA97" s="84"/>
      <c r="AB97" s="84"/>
    </row>
    <row r="98" spans="1:28" ht="14.25" customHeight="1">
      <c r="A98" s="210"/>
      <c r="B98" s="210"/>
      <c r="C98" s="210"/>
      <c r="D98" s="210"/>
      <c r="E98" s="86"/>
      <c r="F98" s="86"/>
      <c r="G98" s="86"/>
      <c r="H98" s="86"/>
      <c r="I98" s="86">
        <v>30</v>
      </c>
      <c r="J98" s="86"/>
      <c r="K98" s="86"/>
      <c r="L98" s="86"/>
      <c r="M98" s="86"/>
      <c r="N98" s="86"/>
      <c r="O98" s="86">
        <f t="shared" si="7"/>
        <v>29</v>
      </c>
      <c r="P98" s="86"/>
      <c r="Q98" s="86">
        <f t="shared" si="4"/>
        <v>29</v>
      </c>
      <c r="R98" s="86">
        <v>1</v>
      </c>
      <c r="S98" s="86">
        <f t="shared" si="5"/>
        <v>30</v>
      </c>
      <c r="T98" s="86">
        <v>21.98</v>
      </c>
      <c r="U98" s="86">
        <v>20.399999999999999</v>
      </c>
      <c r="V98" s="86">
        <v>21.98</v>
      </c>
      <c r="W98" s="86">
        <v>20.399999999999999</v>
      </c>
      <c r="X98" s="86" t="s">
        <v>169</v>
      </c>
      <c r="Y98" s="86">
        <f t="shared" si="6"/>
        <v>7.0999999999999994E-2</v>
      </c>
      <c r="Z98" s="86">
        <v>0</v>
      </c>
      <c r="AA98" s="84"/>
      <c r="AB98" s="84"/>
    </row>
    <row r="99" spans="1:28" ht="14.25" customHeight="1">
      <c r="A99" s="210"/>
      <c r="B99" s="210"/>
      <c r="C99" s="210"/>
      <c r="D99" s="210"/>
      <c r="E99" s="86"/>
      <c r="F99" s="86"/>
      <c r="G99" s="86"/>
      <c r="H99" s="86"/>
      <c r="I99" s="86">
        <v>14</v>
      </c>
      <c r="J99" s="86"/>
      <c r="K99" s="86"/>
      <c r="L99" s="86"/>
      <c r="M99" s="86"/>
      <c r="N99" s="86"/>
      <c r="O99" s="86">
        <f t="shared" si="7"/>
        <v>30</v>
      </c>
      <c r="P99" s="86"/>
      <c r="Q99" s="86">
        <f t="shared" si="4"/>
        <v>30</v>
      </c>
      <c r="R99" s="86">
        <v>1</v>
      </c>
      <c r="S99" s="86">
        <f t="shared" si="5"/>
        <v>14</v>
      </c>
      <c r="T99" s="86">
        <v>4.04</v>
      </c>
      <c r="U99" s="86">
        <v>3.06</v>
      </c>
      <c r="V99" s="86">
        <v>4.04</v>
      </c>
      <c r="W99" s="86">
        <v>3.06</v>
      </c>
      <c r="X99" s="86" t="s">
        <v>181</v>
      </c>
      <c r="Y99" s="86">
        <f t="shared" si="6"/>
        <v>3.4000000000000002E-2</v>
      </c>
      <c r="Z99" s="86">
        <v>0</v>
      </c>
      <c r="AA99" s="84"/>
      <c r="AB99" s="84"/>
    </row>
    <row r="100" spans="1:28" ht="14.25" customHeight="1">
      <c r="A100" s="210"/>
      <c r="B100" s="210"/>
      <c r="C100" s="210"/>
      <c r="D100" s="210"/>
      <c r="E100" s="86"/>
      <c r="F100" s="86"/>
      <c r="G100" s="86"/>
      <c r="H100" s="86"/>
      <c r="I100" s="86"/>
      <c r="J100" s="86">
        <v>14</v>
      </c>
      <c r="K100" s="86"/>
      <c r="L100" s="86"/>
      <c r="M100" s="86"/>
      <c r="N100" s="86"/>
      <c r="O100" s="86">
        <f t="shared" si="7"/>
        <v>31</v>
      </c>
      <c r="P100" s="86"/>
      <c r="Q100" s="86">
        <f t="shared" si="4"/>
        <v>31</v>
      </c>
      <c r="R100" s="86">
        <v>1</v>
      </c>
      <c r="S100" s="86">
        <f t="shared" si="5"/>
        <v>14</v>
      </c>
      <c r="T100" s="86">
        <v>8.4</v>
      </c>
      <c r="U100" s="86">
        <v>7.42</v>
      </c>
      <c r="V100" s="86">
        <v>8.4</v>
      </c>
      <c r="W100" s="86">
        <v>7.42</v>
      </c>
      <c r="X100" s="86" t="s">
        <v>181</v>
      </c>
      <c r="Y100" s="86">
        <f t="shared" si="6"/>
        <v>3.4000000000000002E-2</v>
      </c>
      <c r="Z100" s="86">
        <v>0</v>
      </c>
      <c r="AA100" s="84"/>
      <c r="AB100" s="84"/>
    </row>
    <row r="101" spans="1:28" ht="14.25" customHeight="1">
      <c r="A101" s="210"/>
      <c r="B101" s="210"/>
      <c r="C101" s="210"/>
      <c r="D101" s="210"/>
      <c r="E101" s="86"/>
      <c r="F101" s="86">
        <v>10</v>
      </c>
      <c r="G101" s="86">
        <v>6</v>
      </c>
      <c r="H101" s="86"/>
      <c r="I101" s="86"/>
      <c r="J101" s="86"/>
      <c r="K101" s="86">
        <v>10</v>
      </c>
      <c r="L101" s="86"/>
      <c r="M101" s="86"/>
      <c r="N101" s="86"/>
      <c r="O101" s="86">
        <f t="shared" si="7"/>
        <v>32</v>
      </c>
      <c r="P101" s="86"/>
      <c r="Q101" s="86">
        <f t="shared" si="4"/>
        <v>32</v>
      </c>
      <c r="R101" s="86">
        <v>1</v>
      </c>
      <c r="S101" s="86">
        <f t="shared" si="5"/>
        <v>26</v>
      </c>
      <c r="T101" s="86">
        <v>6.48</v>
      </c>
      <c r="U101" s="86">
        <v>5.5</v>
      </c>
      <c r="V101" s="86">
        <v>6.48</v>
      </c>
      <c r="W101" s="86">
        <v>5.5</v>
      </c>
      <c r="X101" s="86" t="s">
        <v>169</v>
      </c>
      <c r="Y101" s="86">
        <f t="shared" si="6"/>
        <v>7.0999999999999994E-2</v>
      </c>
      <c r="Z101" s="86">
        <v>0</v>
      </c>
      <c r="AA101" s="84"/>
      <c r="AB101" s="84"/>
    </row>
    <row r="102" spans="1:28" ht="14.25" customHeight="1">
      <c r="A102" s="210"/>
      <c r="B102" s="210"/>
      <c r="C102" s="210"/>
      <c r="D102" s="210"/>
      <c r="E102" s="86"/>
      <c r="F102" s="86"/>
      <c r="G102" s="86"/>
      <c r="H102" s="86"/>
      <c r="I102" s="86">
        <v>2</v>
      </c>
      <c r="J102" s="86"/>
      <c r="K102" s="86"/>
      <c r="L102" s="86">
        <v>8</v>
      </c>
      <c r="M102" s="86"/>
      <c r="N102" s="86"/>
      <c r="O102" s="86">
        <f t="shared" si="7"/>
        <v>33</v>
      </c>
      <c r="P102" s="86"/>
      <c r="Q102" s="86">
        <f t="shared" si="4"/>
        <v>33</v>
      </c>
      <c r="R102" s="86">
        <v>1</v>
      </c>
      <c r="S102" s="86">
        <f t="shared" si="5"/>
        <v>10</v>
      </c>
      <c r="T102" s="86">
        <v>5.54</v>
      </c>
      <c r="U102" s="86">
        <v>4.5599999999999996</v>
      </c>
      <c r="V102" s="86">
        <v>5.54</v>
      </c>
      <c r="W102" s="86">
        <v>4.5599999999999996</v>
      </c>
      <c r="X102" s="86" t="s">
        <v>181</v>
      </c>
      <c r="Y102" s="86">
        <f t="shared" si="6"/>
        <v>3.4000000000000002E-2</v>
      </c>
      <c r="Z102" s="86">
        <v>0</v>
      </c>
      <c r="AA102" s="84"/>
      <c r="AB102" s="84"/>
    </row>
    <row r="103" spans="1:28" ht="14.25" customHeight="1">
      <c r="A103" s="88"/>
      <c r="B103" s="88"/>
      <c r="C103" s="205" t="s">
        <v>61</v>
      </c>
      <c r="D103" s="205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9">
        <f>SUM(R92:R102)</f>
        <v>13</v>
      </c>
      <c r="S103" s="89">
        <f>SUM(S92:S102)</f>
        <v>300</v>
      </c>
      <c r="T103" s="83">
        <v>159.63999999999999</v>
      </c>
      <c r="U103" s="83">
        <v>144.28</v>
      </c>
      <c r="V103" s="83">
        <v>159.63999999999999</v>
      </c>
      <c r="W103" s="83">
        <v>144.28</v>
      </c>
      <c r="X103" s="83"/>
      <c r="Y103" s="83">
        <f>SUM(Y92:Y102)</f>
        <v>0.73799999999999999</v>
      </c>
      <c r="Z103" s="83">
        <v>0</v>
      </c>
      <c r="AA103" s="84"/>
      <c r="AB103" s="84"/>
    </row>
    <row r="104" spans="1:28" ht="14.25" customHeight="1">
      <c r="A104" s="88"/>
      <c r="B104" s="88"/>
      <c r="C104" s="205" t="s">
        <v>170</v>
      </c>
      <c r="D104" s="205"/>
      <c r="E104" s="89">
        <v>28</v>
      </c>
      <c r="F104" s="89">
        <v>54</v>
      </c>
      <c r="G104" s="89">
        <v>80</v>
      </c>
      <c r="H104" s="89">
        <v>60</v>
      </c>
      <c r="I104" s="89">
        <v>46</v>
      </c>
      <c r="J104" s="89">
        <v>14</v>
      </c>
      <c r="K104" s="89">
        <v>10</v>
      </c>
      <c r="L104" s="89">
        <v>8</v>
      </c>
      <c r="M104" s="89"/>
      <c r="N104" s="89"/>
      <c r="O104" s="89">
        <f>SUM(E104:N104)</f>
        <v>300</v>
      </c>
      <c r="P104" s="89"/>
      <c r="Q104" s="89"/>
      <c r="R104" s="88"/>
      <c r="S104" s="88"/>
      <c r="T104" s="88"/>
      <c r="U104" s="88"/>
      <c r="V104" s="88"/>
      <c r="W104" s="88"/>
      <c r="X104" s="88"/>
      <c r="Y104" s="88"/>
      <c r="Z104" s="88"/>
      <c r="AA104" s="84"/>
      <c r="AB104" s="84"/>
    </row>
    <row r="105" spans="1:28" ht="14.25" customHeight="1">
      <c r="A105" s="88"/>
      <c r="B105" s="88"/>
      <c r="C105" s="205" t="s">
        <v>171</v>
      </c>
      <c r="D105" s="205"/>
      <c r="E105" s="89">
        <v>28</v>
      </c>
      <c r="F105" s="89">
        <v>54</v>
      </c>
      <c r="G105" s="89">
        <v>80</v>
      </c>
      <c r="H105" s="89">
        <v>60</v>
      </c>
      <c r="I105" s="89">
        <v>46</v>
      </c>
      <c r="J105" s="89">
        <v>14</v>
      </c>
      <c r="K105" s="89">
        <v>10</v>
      </c>
      <c r="L105" s="89">
        <v>8</v>
      </c>
      <c r="M105" s="89"/>
      <c r="N105" s="89"/>
      <c r="O105" s="89">
        <f>SUM(E105:N105)</f>
        <v>300</v>
      </c>
      <c r="P105" s="89"/>
      <c r="Q105" s="89"/>
      <c r="R105" s="83"/>
      <c r="S105" s="88"/>
      <c r="T105" s="88"/>
      <c r="U105" s="88"/>
      <c r="V105" s="88"/>
      <c r="W105" s="88"/>
      <c r="X105" s="88"/>
      <c r="Y105" s="88"/>
      <c r="Z105" s="88"/>
      <c r="AA105" s="84"/>
      <c r="AB105" s="84"/>
    </row>
    <row r="106" spans="1:28" ht="14.25" customHeight="1">
      <c r="A106" s="88"/>
      <c r="B106" s="88"/>
      <c r="C106" s="205" t="s">
        <v>172</v>
      </c>
      <c r="D106" s="205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4"/>
      <c r="AB106" s="84"/>
    </row>
    <row r="107" spans="1:28" ht="14.25" customHeight="1">
      <c r="A107" s="88"/>
      <c r="B107" s="88"/>
      <c r="C107" s="205" t="s">
        <v>173</v>
      </c>
      <c r="D107" s="205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90"/>
      <c r="P107" s="90"/>
      <c r="Q107" s="90"/>
      <c r="R107" s="88"/>
      <c r="S107" s="88"/>
      <c r="T107" s="88"/>
      <c r="U107" s="88"/>
      <c r="V107" s="88"/>
      <c r="W107" s="88"/>
      <c r="X107" s="88"/>
      <c r="Y107" s="88"/>
      <c r="Z107" s="88"/>
      <c r="AA107" s="84"/>
      <c r="AB107" s="84"/>
    </row>
    <row r="108" spans="1:28" ht="14.2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</row>
    <row r="109" spans="1:28" ht="14.25" customHeight="1">
      <c r="A109" s="206" t="s">
        <v>147</v>
      </c>
      <c r="B109" s="206" t="s">
        <v>148</v>
      </c>
      <c r="C109" s="207" t="s">
        <v>149</v>
      </c>
      <c r="D109" s="82" t="s">
        <v>150</v>
      </c>
      <c r="E109" s="208" t="s">
        <v>151</v>
      </c>
      <c r="F109" s="208"/>
      <c r="G109" s="208"/>
      <c r="H109" s="208"/>
      <c r="I109" s="208"/>
      <c r="J109" s="208"/>
      <c r="K109" s="208"/>
      <c r="L109" s="208"/>
      <c r="M109" s="208"/>
      <c r="N109" s="208"/>
      <c r="O109" s="209" t="s">
        <v>152</v>
      </c>
      <c r="P109" s="209"/>
      <c r="Q109" s="209"/>
      <c r="R109" s="82" t="s">
        <v>153</v>
      </c>
      <c r="S109" s="82" t="s">
        <v>153</v>
      </c>
      <c r="T109" s="82" t="s">
        <v>154</v>
      </c>
      <c r="U109" s="82" t="s">
        <v>155</v>
      </c>
      <c r="V109" s="82" t="s">
        <v>154</v>
      </c>
      <c r="W109" s="82" t="s">
        <v>155</v>
      </c>
      <c r="X109" s="82" t="s">
        <v>156</v>
      </c>
      <c r="Y109" s="206" t="s">
        <v>103</v>
      </c>
      <c r="Z109" s="82" t="s">
        <v>157</v>
      </c>
      <c r="AA109" s="84"/>
      <c r="AB109" s="84"/>
    </row>
    <row r="110" spans="1:28" ht="14.25" customHeight="1">
      <c r="A110" s="206"/>
      <c r="B110" s="206"/>
      <c r="C110" s="207"/>
      <c r="D110" s="85" t="s">
        <v>158</v>
      </c>
      <c r="E110" s="83" t="s">
        <v>183</v>
      </c>
      <c r="F110" s="83" t="s">
        <v>184</v>
      </c>
      <c r="G110" s="83" t="s">
        <v>185</v>
      </c>
      <c r="H110" s="83" t="s">
        <v>186</v>
      </c>
      <c r="I110" s="83" t="s">
        <v>187</v>
      </c>
      <c r="J110" s="83" t="s">
        <v>188</v>
      </c>
      <c r="K110" s="83" t="s">
        <v>189</v>
      </c>
      <c r="L110" s="83" t="s">
        <v>190</v>
      </c>
      <c r="M110" s="83"/>
      <c r="N110" s="83"/>
      <c r="O110" s="209"/>
      <c r="P110" s="209"/>
      <c r="Q110" s="209"/>
      <c r="R110" s="85" t="s">
        <v>164</v>
      </c>
      <c r="S110" s="85" t="s">
        <v>165</v>
      </c>
      <c r="T110" s="85" t="s">
        <v>156</v>
      </c>
      <c r="U110" s="85" t="s">
        <v>156</v>
      </c>
      <c r="V110" s="85" t="s">
        <v>166</v>
      </c>
      <c r="W110" s="85" t="s">
        <v>166</v>
      </c>
      <c r="X110" s="85" t="s">
        <v>102</v>
      </c>
      <c r="Y110" s="206"/>
      <c r="Z110" s="85" t="s">
        <v>167</v>
      </c>
      <c r="AA110" s="84"/>
      <c r="AB110" s="84"/>
    </row>
    <row r="111" spans="1:28" ht="14.25" customHeight="1">
      <c r="A111" s="210" t="s">
        <v>55</v>
      </c>
      <c r="B111" s="210" t="s">
        <v>49</v>
      </c>
      <c r="C111" s="210" t="s">
        <v>193</v>
      </c>
      <c r="D111" s="210" t="s">
        <v>54</v>
      </c>
      <c r="E111" s="86">
        <v>30</v>
      </c>
      <c r="F111" s="86"/>
      <c r="G111" s="86"/>
      <c r="H111" s="86"/>
      <c r="I111" s="86"/>
      <c r="J111" s="86"/>
      <c r="K111" s="86"/>
      <c r="L111" s="86"/>
      <c r="M111" s="86"/>
      <c r="N111" s="86"/>
      <c r="O111" s="86">
        <f>Q102+1</f>
        <v>34</v>
      </c>
      <c r="P111" s="86"/>
      <c r="Q111" s="86">
        <f t="shared" ref="Q111:Q118" si="8">O111+R111-1</f>
        <v>34</v>
      </c>
      <c r="R111" s="86">
        <v>1</v>
      </c>
      <c r="S111" s="86">
        <f t="shared" ref="S111:S118" si="9">SUM(E111:N111)*R111</f>
        <v>30</v>
      </c>
      <c r="T111" s="86">
        <v>11.78</v>
      </c>
      <c r="U111" s="86">
        <v>10.8</v>
      </c>
      <c r="V111" s="86">
        <v>11.78</v>
      </c>
      <c r="W111" s="86">
        <v>10.8</v>
      </c>
      <c r="X111" s="86" t="s">
        <v>169</v>
      </c>
      <c r="Y111" s="86">
        <f t="shared" ref="Y111:Y118" si="10">IF(X111="595X289X390",0.071,IF(X111="597X292X191",0.034,IF(X111="560X600X390",0.132,IF(X111="560X400X390",0.088))))*R111</f>
        <v>7.0999999999999994E-2</v>
      </c>
      <c r="Z111" s="86">
        <v>0</v>
      </c>
      <c r="AA111" s="84"/>
      <c r="AB111" s="84"/>
    </row>
    <row r="112" spans="1:28" ht="14.25" customHeight="1">
      <c r="A112" s="210"/>
      <c r="B112" s="210"/>
      <c r="C112" s="210"/>
      <c r="D112" s="210"/>
      <c r="E112" s="86"/>
      <c r="F112" s="86">
        <v>30</v>
      </c>
      <c r="G112" s="86"/>
      <c r="H112" s="86"/>
      <c r="I112" s="86"/>
      <c r="J112" s="86"/>
      <c r="K112" s="86"/>
      <c r="L112" s="86"/>
      <c r="M112" s="86"/>
      <c r="N112" s="86"/>
      <c r="O112" s="86">
        <f t="shared" ref="O112:O118" si="11">Q111+1</f>
        <v>35</v>
      </c>
      <c r="P112" s="86"/>
      <c r="Q112" s="86">
        <f t="shared" si="8"/>
        <v>35</v>
      </c>
      <c r="R112" s="86">
        <v>1</v>
      </c>
      <c r="S112" s="86">
        <f t="shared" si="9"/>
        <v>30</v>
      </c>
      <c r="T112" s="86">
        <v>21.34</v>
      </c>
      <c r="U112" s="86">
        <v>19.760000000000002</v>
      </c>
      <c r="V112" s="86">
        <v>21.34</v>
      </c>
      <c r="W112" s="86">
        <v>19.760000000000002</v>
      </c>
      <c r="X112" s="86" t="s">
        <v>169</v>
      </c>
      <c r="Y112" s="86">
        <f t="shared" si="10"/>
        <v>7.0999999999999994E-2</v>
      </c>
      <c r="Z112" s="86">
        <v>0</v>
      </c>
      <c r="AA112" s="84"/>
      <c r="AB112" s="84"/>
    </row>
    <row r="113" spans="1:28" ht="14.25" customHeight="1">
      <c r="A113" s="210"/>
      <c r="B113" s="210"/>
      <c r="C113" s="210"/>
      <c r="D113" s="210"/>
      <c r="E113" s="86"/>
      <c r="F113" s="86">
        <v>14</v>
      </c>
      <c r="G113" s="86"/>
      <c r="H113" s="86"/>
      <c r="I113" s="86"/>
      <c r="J113" s="86"/>
      <c r="K113" s="86"/>
      <c r="L113" s="86"/>
      <c r="M113" s="86"/>
      <c r="N113" s="86"/>
      <c r="O113" s="86">
        <f t="shared" si="11"/>
        <v>36</v>
      </c>
      <c r="P113" s="86"/>
      <c r="Q113" s="86">
        <f t="shared" si="8"/>
        <v>36</v>
      </c>
      <c r="R113" s="86">
        <v>1</v>
      </c>
      <c r="S113" s="86">
        <f t="shared" si="9"/>
        <v>14</v>
      </c>
      <c r="T113" s="86">
        <v>24.78</v>
      </c>
      <c r="U113" s="86">
        <v>23.2</v>
      </c>
      <c r="V113" s="86">
        <v>24.78</v>
      </c>
      <c r="W113" s="86">
        <v>23.2</v>
      </c>
      <c r="X113" s="86" t="s">
        <v>181</v>
      </c>
      <c r="Y113" s="86">
        <f t="shared" si="10"/>
        <v>3.4000000000000002E-2</v>
      </c>
      <c r="Z113" s="86">
        <v>0</v>
      </c>
      <c r="AA113" s="84"/>
      <c r="AB113" s="84"/>
    </row>
    <row r="114" spans="1:28" ht="14.25" customHeight="1">
      <c r="A114" s="210"/>
      <c r="B114" s="210"/>
      <c r="C114" s="210"/>
      <c r="D114" s="210"/>
      <c r="E114" s="86"/>
      <c r="F114" s="86"/>
      <c r="G114" s="86">
        <v>30</v>
      </c>
      <c r="H114" s="86"/>
      <c r="I114" s="86"/>
      <c r="J114" s="86"/>
      <c r="K114" s="86"/>
      <c r="L114" s="86"/>
      <c r="M114" s="86"/>
      <c r="N114" s="86"/>
      <c r="O114" s="86">
        <f t="shared" si="11"/>
        <v>37</v>
      </c>
      <c r="P114" s="86"/>
      <c r="Q114" s="86">
        <f t="shared" si="8"/>
        <v>37</v>
      </c>
      <c r="R114" s="86">
        <v>1</v>
      </c>
      <c r="S114" s="86">
        <f t="shared" si="9"/>
        <v>30</v>
      </c>
      <c r="T114" s="86">
        <v>13.58</v>
      </c>
      <c r="U114" s="86">
        <v>12.6</v>
      </c>
      <c r="V114" s="86">
        <v>13.58</v>
      </c>
      <c r="W114" s="86">
        <v>12.6</v>
      </c>
      <c r="X114" s="86" t="s">
        <v>169</v>
      </c>
      <c r="Y114" s="86">
        <f t="shared" si="10"/>
        <v>7.0999999999999994E-2</v>
      </c>
      <c r="Z114" s="86">
        <v>0</v>
      </c>
      <c r="AA114" s="84"/>
      <c r="AB114" s="84"/>
    </row>
    <row r="115" spans="1:28" ht="14.25" customHeight="1">
      <c r="A115" s="210"/>
      <c r="B115" s="210"/>
      <c r="C115" s="210"/>
      <c r="D115" s="210"/>
      <c r="E115" s="86"/>
      <c r="F115" s="86"/>
      <c r="G115" s="86">
        <v>28</v>
      </c>
      <c r="H115" s="86"/>
      <c r="I115" s="86"/>
      <c r="J115" s="86"/>
      <c r="K115" s="86"/>
      <c r="L115" s="86"/>
      <c r="M115" s="86"/>
      <c r="N115" s="86"/>
      <c r="O115" s="86">
        <f t="shared" si="11"/>
        <v>38</v>
      </c>
      <c r="P115" s="86"/>
      <c r="Q115" s="86">
        <f t="shared" si="8"/>
        <v>38</v>
      </c>
      <c r="R115" s="86">
        <v>1</v>
      </c>
      <c r="S115" s="86">
        <f t="shared" si="9"/>
        <v>28</v>
      </c>
      <c r="T115" s="86">
        <v>8.02</v>
      </c>
      <c r="U115" s="86">
        <v>7.04</v>
      </c>
      <c r="V115" s="86">
        <v>8.02</v>
      </c>
      <c r="W115" s="86">
        <v>7.04</v>
      </c>
      <c r="X115" s="86" t="s">
        <v>181</v>
      </c>
      <c r="Y115" s="86">
        <f t="shared" si="10"/>
        <v>3.4000000000000002E-2</v>
      </c>
      <c r="Z115" s="86">
        <v>0</v>
      </c>
      <c r="AA115" s="84"/>
      <c r="AB115" s="84"/>
    </row>
    <row r="116" spans="1:28" ht="14.25" customHeight="1">
      <c r="A116" s="210"/>
      <c r="B116" s="210"/>
      <c r="C116" s="210"/>
      <c r="D116" s="210"/>
      <c r="E116" s="86"/>
      <c r="F116" s="86"/>
      <c r="G116" s="86"/>
      <c r="H116" s="86">
        <v>30</v>
      </c>
      <c r="I116" s="86"/>
      <c r="J116" s="86"/>
      <c r="K116" s="86"/>
      <c r="L116" s="86"/>
      <c r="M116" s="86"/>
      <c r="N116" s="86"/>
      <c r="O116" s="86">
        <f t="shared" si="11"/>
        <v>39</v>
      </c>
      <c r="P116" s="86"/>
      <c r="Q116" s="86">
        <f t="shared" si="8"/>
        <v>39</v>
      </c>
      <c r="R116" s="86">
        <v>1</v>
      </c>
      <c r="S116" s="86">
        <f t="shared" si="9"/>
        <v>30</v>
      </c>
      <c r="T116" s="86">
        <v>8.02</v>
      </c>
      <c r="U116" s="86">
        <v>7.04</v>
      </c>
      <c r="V116" s="86">
        <v>8.02</v>
      </c>
      <c r="W116" s="86">
        <v>7.04</v>
      </c>
      <c r="X116" s="86" t="s">
        <v>169</v>
      </c>
      <c r="Y116" s="86">
        <f t="shared" si="10"/>
        <v>7.0999999999999994E-2</v>
      </c>
      <c r="Z116" s="86">
        <v>0</v>
      </c>
      <c r="AA116" s="84"/>
      <c r="AB116" s="84"/>
    </row>
    <row r="117" spans="1:28" ht="14.25" customHeight="1">
      <c r="A117" s="210"/>
      <c r="B117" s="210"/>
      <c r="C117" s="210"/>
      <c r="D117" s="210"/>
      <c r="E117" s="86"/>
      <c r="F117" s="86"/>
      <c r="G117" s="86"/>
      <c r="H117" s="86"/>
      <c r="I117" s="86">
        <v>14</v>
      </c>
      <c r="J117" s="86"/>
      <c r="K117" s="86"/>
      <c r="L117" s="86"/>
      <c r="M117" s="86"/>
      <c r="N117" s="86"/>
      <c r="O117" s="86">
        <f t="shared" si="11"/>
        <v>40</v>
      </c>
      <c r="P117" s="86"/>
      <c r="Q117" s="86">
        <f t="shared" si="8"/>
        <v>40</v>
      </c>
      <c r="R117" s="86">
        <v>1</v>
      </c>
      <c r="S117" s="86">
        <f t="shared" si="9"/>
        <v>14</v>
      </c>
      <c r="T117" s="86">
        <v>8.02</v>
      </c>
      <c r="U117" s="86">
        <v>7.04</v>
      </c>
      <c r="V117" s="86">
        <v>8.02</v>
      </c>
      <c r="W117" s="86">
        <v>7.04</v>
      </c>
      <c r="X117" s="86" t="s">
        <v>181</v>
      </c>
      <c r="Y117" s="86">
        <f t="shared" si="10"/>
        <v>3.4000000000000002E-2</v>
      </c>
      <c r="Z117" s="86">
        <v>0</v>
      </c>
      <c r="AA117" s="84"/>
      <c r="AB117" s="84"/>
    </row>
    <row r="118" spans="1:28" ht="14.25" customHeight="1">
      <c r="A118" s="210"/>
      <c r="B118" s="210"/>
      <c r="C118" s="210"/>
      <c r="D118" s="210"/>
      <c r="E118" s="86"/>
      <c r="F118" s="86">
        <v>8</v>
      </c>
      <c r="G118" s="86"/>
      <c r="H118" s="86"/>
      <c r="I118" s="86">
        <v>2</v>
      </c>
      <c r="J118" s="86">
        <v>6</v>
      </c>
      <c r="K118" s="86">
        <v>5</v>
      </c>
      <c r="L118" s="86">
        <v>5</v>
      </c>
      <c r="M118" s="86"/>
      <c r="N118" s="86"/>
      <c r="O118" s="86">
        <f t="shared" si="11"/>
        <v>41</v>
      </c>
      <c r="P118" s="86"/>
      <c r="Q118" s="86">
        <f t="shared" si="8"/>
        <v>41</v>
      </c>
      <c r="R118" s="86">
        <v>1</v>
      </c>
      <c r="S118" s="86">
        <f t="shared" si="9"/>
        <v>26</v>
      </c>
      <c r="T118" s="86">
        <v>8.02</v>
      </c>
      <c r="U118" s="86">
        <v>7.04</v>
      </c>
      <c r="V118" s="86">
        <v>8.02</v>
      </c>
      <c r="W118" s="86">
        <v>7.04</v>
      </c>
      <c r="X118" s="86" t="s">
        <v>169</v>
      </c>
      <c r="Y118" s="86">
        <f t="shared" si="10"/>
        <v>7.0999999999999994E-2</v>
      </c>
      <c r="Z118" s="86">
        <v>0</v>
      </c>
      <c r="AA118" s="84"/>
      <c r="AB118" s="84"/>
    </row>
    <row r="119" spans="1:28" ht="14.25" customHeight="1">
      <c r="A119" s="210"/>
      <c r="B119" s="210"/>
      <c r="C119" s="210"/>
      <c r="D119" s="210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4"/>
      <c r="AB119" s="84"/>
    </row>
    <row r="120" spans="1:28" ht="14.25" customHeight="1">
      <c r="A120" s="88"/>
      <c r="B120" s="88"/>
      <c r="C120" s="205" t="s">
        <v>61</v>
      </c>
      <c r="D120" s="205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9">
        <f>SUM(R111:R118)</f>
        <v>8</v>
      </c>
      <c r="S120" s="89">
        <f>SUM(S111:S118)</f>
        <v>202</v>
      </c>
      <c r="T120" s="83">
        <v>90.1</v>
      </c>
      <c r="U120" s="83">
        <v>81.06</v>
      </c>
      <c r="V120" s="83">
        <v>90.1</v>
      </c>
      <c r="W120" s="83">
        <v>81.06</v>
      </c>
      <c r="X120" s="83"/>
      <c r="Y120" s="83">
        <f>SUM(Y111:Y119)</f>
        <v>0.45700000000000002</v>
      </c>
      <c r="Z120" s="83">
        <v>0</v>
      </c>
      <c r="AA120" s="84"/>
      <c r="AB120" s="84"/>
    </row>
    <row r="121" spans="1:28" ht="14.25" customHeight="1">
      <c r="A121" s="88"/>
      <c r="B121" s="88"/>
      <c r="C121" s="205" t="s">
        <v>170</v>
      </c>
      <c r="D121" s="205"/>
      <c r="E121" s="89">
        <v>30</v>
      </c>
      <c r="F121" s="89">
        <v>52</v>
      </c>
      <c r="G121" s="89">
        <v>58</v>
      </c>
      <c r="H121" s="89">
        <v>30</v>
      </c>
      <c r="I121" s="89">
        <v>16</v>
      </c>
      <c r="J121" s="89">
        <v>6</v>
      </c>
      <c r="K121" s="89">
        <v>5</v>
      </c>
      <c r="L121" s="89">
        <v>5</v>
      </c>
      <c r="M121" s="89"/>
      <c r="N121" s="89"/>
      <c r="O121" s="89">
        <f>SUM(E121:N121)</f>
        <v>202</v>
      </c>
      <c r="P121" s="89"/>
      <c r="Q121" s="89"/>
      <c r="R121" s="83"/>
      <c r="S121" s="83"/>
      <c r="T121" s="83"/>
      <c r="U121" s="83"/>
      <c r="V121" s="88"/>
      <c r="W121" s="83"/>
      <c r="X121" s="83"/>
      <c r="Y121" s="88"/>
      <c r="Z121" s="88"/>
      <c r="AA121" s="84"/>
      <c r="AB121" s="84"/>
    </row>
    <row r="122" spans="1:28" ht="14.25" customHeight="1">
      <c r="A122" s="88"/>
      <c r="B122" s="88"/>
      <c r="C122" s="205" t="s">
        <v>171</v>
      </c>
      <c r="D122" s="205"/>
      <c r="E122" s="89">
        <v>30</v>
      </c>
      <c r="F122" s="89">
        <v>52</v>
      </c>
      <c r="G122" s="89">
        <v>58</v>
      </c>
      <c r="H122" s="89">
        <v>30</v>
      </c>
      <c r="I122" s="89">
        <v>16</v>
      </c>
      <c r="J122" s="89">
        <v>6</v>
      </c>
      <c r="K122" s="89">
        <v>5</v>
      </c>
      <c r="L122" s="89">
        <v>5</v>
      </c>
      <c r="M122" s="89"/>
      <c r="N122" s="89"/>
      <c r="O122" s="89">
        <f>SUM(E122:N122)</f>
        <v>202</v>
      </c>
      <c r="P122" s="89"/>
      <c r="Q122" s="89"/>
      <c r="R122" s="83"/>
      <c r="S122" s="88"/>
      <c r="T122" s="88"/>
      <c r="U122" s="88"/>
      <c r="V122" s="88"/>
      <c r="W122" s="88"/>
      <c r="X122" s="83"/>
      <c r="Y122" s="88"/>
      <c r="Z122" s="88"/>
      <c r="AA122" s="84"/>
      <c r="AB122" s="84"/>
    </row>
    <row r="123" spans="1:28" ht="14.25" customHeight="1">
      <c r="A123" s="88"/>
      <c r="B123" s="88"/>
      <c r="C123" s="205" t="s">
        <v>172</v>
      </c>
      <c r="D123" s="205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4"/>
      <c r="AB123" s="84"/>
    </row>
    <row r="124" spans="1:28" ht="14.25" customHeight="1">
      <c r="A124" s="88"/>
      <c r="B124" s="88"/>
      <c r="C124" s="205" t="s">
        <v>173</v>
      </c>
      <c r="D124" s="205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3"/>
      <c r="S124" s="88"/>
      <c r="T124" s="88"/>
      <c r="U124" s="88"/>
      <c r="V124" s="88"/>
      <c r="W124" s="88"/>
      <c r="X124" s="83"/>
      <c r="Y124" s="88"/>
      <c r="Z124" s="88"/>
      <c r="AA124" s="84"/>
      <c r="AB124" s="84"/>
    </row>
    <row r="125" spans="1:28" ht="14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</row>
    <row r="126" spans="1:28" ht="14.25" customHeight="1">
      <c r="A126" s="186" t="s">
        <v>147</v>
      </c>
      <c r="B126" s="186" t="s">
        <v>148</v>
      </c>
      <c r="C126" s="189" t="s">
        <v>149</v>
      </c>
      <c r="D126" s="92" t="s">
        <v>150</v>
      </c>
      <c r="E126" s="190" t="s">
        <v>151</v>
      </c>
      <c r="F126" s="190"/>
      <c r="G126" s="190"/>
      <c r="H126" s="190"/>
      <c r="I126" s="190"/>
      <c r="J126" s="190"/>
      <c r="K126" s="190"/>
      <c r="L126" s="190"/>
      <c r="M126" s="190"/>
      <c r="N126" s="190"/>
      <c r="O126" s="187" t="s">
        <v>152</v>
      </c>
      <c r="P126" s="94"/>
      <c r="Q126" s="94"/>
      <c r="R126" s="92" t="s">
        <v>153</v>
      </c>
      <c r="S126" s="92" t="s">
        <v>153</v>
      </c>
      <c r="T126" s="92" t="s">
        <v>154</v>
      </c>
      <c r="U126" s="92" t="s">
        <v>155</v>
      </c>
      <c r="V126" s="92" t="s">
        <v>154</v>
      </c>
      <c r="W126" s="92" t="s">
        <v>155</v>
      </c>
      <c r="X126" s="92" t="s">
        <v>156</v>
      </c>
      <c r="Y126" s="186" t="s">
        <v>103</v>
      </c>
      <c r="Z126" s="92" t="s">
        <v>157</v>
      </c>
      <c r="AA126" s="47"/>
      <c r="AB126" s="47"/>
    </row>
    <row r="127" spans="1:28" ht="14.25" customHeight="1">
      <c r="A127" s="186"/>
      <c r="B127" s="186"/>
      <c r="C127" s="189"/>
      <c r="D127" s="95" t="s">
        <v>158</v>
      </c>
      <c r="E127" s="226" t="s">
        <v>174</v>
      </c>
      <c r="F127" s="226" t="s">
        <v>175</v>
      </c>
      <c r="G127" s="226" t="s">
        <v>176</v>
      </c>
      <c r="H127" s="226" t="s">
        <v>177</v>
      </c>
      <c r="I127" s="226" t="s">
        <v>178</v>
      </c>
      <c r="J127" s="93"/>
      <c r="K127" s="93"/>
      <c r="L127" s="93"/>
      <c r="M127" s="93"/>
      <c r="N127" s="93"/>
      <c r="O127" s="187"/>
      <c r="P127" s="96"/>
      <c r="Q127" s="96"/>
      <c r="R127" s="95" t="s">
        <v>164</v>
      </c>
      <c r="S127" s="95" t="s">
        <v>165</v>
      </c>
      <c r="T127" s="95" t="s">
        <v>156</v>
      </c>
      <c r="U127" s="95" t="s">
        <v>156</v>
      </c>
      <c r="V127" s="95" t="s">
        <v>166</v>
      </c>
      <c r="W127" s="95" t="s">
        <v>166</v>
      </c>
      <c r="X127" s="95" t="s">
        <v>102</v>
      </c>
      <c r="Y127" s="186"/>
      <c r="Z127" s="95" t="s">
        <v>167</v>
      </c>
      <c r="AA127" s="47"/>
      <c r="AB127" s="47"/>
    </row>
    <row r="128" spans="1:28" ht="14.25" customHeight="1">
      <c r="A128" s="188" t="s">
        <v>67</v>
      </c>
      <c r="B128" s="188" t="s">
        <v>68</v>
      </c>
      <c r="C128" s="188" t="s">
        <v>194</v>
      </c>
      <c r="D128" s="188" t="s">
        <v>56</v>
      </c>
      <c r="E128" s="98"/>
      <c r="F128" s="98"/>
      <c r="G128" s="98"/>
      <c r="H128" s="98">
        <v>46</v>
      </c>
      <c r="I128" s="98"/>
      <c r="J128" s="98"/>
      <c r="K128" s="98"/>
      <c r="L128" s="98"/>
      <c r="M128" s="98"/>
      <c r="N128" s="98"/>
      <c r="O128" s="98">
        <f>Q118+1</f>
        <v>42</v>
      </c>
      <c r="P128" s="98"/>
      <c r="Q128" s="98">
        <f>O128+R128-1</f>
        <v>42</v>
      </c>
      <c r="R128" s="98">
        <v>1</v>
      </c>
      <c r="S128" s="98">
        <f>SUM(E128:N128)*R128</f>
        <v>46</v>
      </c>
      <c r="T128" s="98">
        <v>2.42</v>
      </c>
      <c r="U128" s="98">
        <v>1.44</v>
      </c>
      <c r="V128" s="98">
        <v>2.42</v>
      </c>
      <c r="W128" s="98">
        <v>1.44</v>
      </c>
      <c r="X128" s="98" t="s">
        <v>181</v>
      </c>
      <c r="Y128" s="98">
        <f>IF(X128="595X289X390",0.071,IF(X128="597X292X191",0.034,IF(X128="560X600X390",0.132,IF(X128="560X400X390",0.088))))*R128</f>
        <v>3.4000000000000002E-2</v>
      </c>
      <c r="Z128" s="98">
        <v>0</v>
      </c>
      <c r="AA128" s="47"/>
      <c r="AB128" s="47"/>
    </row>
    <row r="129" spans="1:26" s="47" customFormat="1" ht="14.25" customHeight="1">
      <c r="A129" s="188"/>
      <c r="B129" s="188"/>
      <c r="C129" s="188"/>
      <c r="D129" s="188"/>
      <c r="E129" s="98"/>
      <c r="F129" s="98"/>
      <c r="G129" s="98"/>
      <c r="H129" s="98"/>
      <c r="I129" s="98">
        <v>50</v>
      </c>
      <c r="J129" s="98"/>
      <c r="K129" s="98"/>
      <c r="L129" s="98"/>
      <c r="M129" s="98"/>
      <c r="N129" s="98"/>
      <c r="O129" s="98">
        <f>Q128+1</f>
        <v>43</v>
      </c>
      <c r="P129" s="98"/>
      <c r="Q129" s="98">
        <f>O129+R129-1</f>
        <v>43</v>
      </c>
      <c r="R129" s="98">
        <v>1</v>
      </c>
      <c r="S129" s="98">
        <f>SUM(E129:N129)*R129</f>
        <v>50</v>
      </c>
      <c r="T129" s="98">
        <v>3.18</v>
      </c>
      <c r="U129" s="98">
        <v>2.2000000000000002</v>
      </c>
      <c r="V129" s="98">
        <v>3.18</v>
      </c>
      <c r="W129" s="98">
        <v>2.2000000000000002</v>
      </c>
      <c r="X129" s="98" t="s">
        <v>181</v>
      </c>
      <c r="Y129" s="98">
        <f>IF(X129="595X289X390",0.071,IF(X129="597X292X191",0.034,IF(X129="560X600X390",0.132,IF(X129="560X400X390",0.088))))*R129</f>
        <v>3.4000000000000002E-2</v>
      </c>
      <c r="Z129" s="98">
        <v>0</v>
      </c>
    </row>
    <row r="130" spans="1:26" s="47" customFormat="1" ht="14.25" customHeight="1">
      <c r="A130" s="188"/>
      <c r="B130" s="188"/>
      <c r="C130" s="188"/>
      <c r="D130" s="188"/>
      <c r="E130" s="98">
        <v>16</v>
      </c>
      <c r="F130" s="98">
        <v>22</v>
      </c>
      <c r="G130" s="98">
        <v>38</v>
      </c>
      <c r="H130" s="98"/>
      <c r="I130" s="98">
        <v>28</v>
      </c>
      <c r="J130" s="98"/>
      <c r="K130" s="98"/>
      <c r="L130" s="98"/>
      <c r="M130" s="98"/>
      <c r="N130" s="98"/>
      <c r="O130" s="98">
        <f>Q129+1</f>
        <v>44</v>
      </c>
      <c r="P130" s="98"/>
      <c r="Q130" s="98">
        <f>O130+R130-1</f>
        <v>44</v>
      </c>
      <c r="R130" s="98">
        <v>1</v>
      </c>
      <c r="S130" s="98">
        <f>SUM(E130:N130)*R130</f>
        <v>104</v>
      </c>
      <c r="T130" s="98">
        <v>5.16</v>
      </c>
      <c r="U130" s="98">
        <v>4.18</v>
      </c>
      <c r="V130" s="98">
        <v>5.16</v>
      </c>
      <c r="W130" s="98">
        <v>4.18</v>
      </c>
      <c r="X130" s="99" t="s">
        <v>169</v>
      </c>
      <c r="Y130" s="98">
        <f>IF(X130="595X289X390",0.071,IF(X130="597X292X191",0.034,IF(X130="560X600X390",0.132,IF(X130="560X400X390",0.088))))*R130</f>
        <v>7.0999999999999994E-2</v>
      </c>
      <c r="Z130" s="98">
        <v>0</v>
      </c>
    </row>
    <row r="131" spans="1:26" s="47" customFormat="1" ht="14.25" customHeight="1">
      <c r="A131" s="100"/>
      <c r="B131" s="100"/>
      <c r="C131" s="185" t="s">
        <v>61</v>
      </c>
      <c r="D131" s="185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2">
        <f t="shared" ref="R131:W131" si="12">SUM(R128:R130)</f>
        <v>3</v>
      </c>
      <c r="S131" s="102">
        <f t="shared" si="12"/>
        <v>200</v>
      </c>
      <c r="T131" s="93">
        <f t="shared" si="12"/>
        <v>10.76</v>
      </c>
      <c r="U131" s="93">
        <f t="shared" si="12"/>
        <v>7.82</v>
      </c>
      <c r="V131" s="93">
        <f t="shared" si="12"/>
        <v>10.76</v>
      </c>
      <c r="W131" s="93">
        <f t="shared" si="12"/>
        <v>7.82</v>
      </c>
      <c r="X131" s="93"/>
      <c r="Y131" s="93">
        <f>SUM(Y128:Y130)</f>
        <v>0.13900000000000001</v>
      </c>
      <c r="Z131" s="93">
        <f>SUM(Z128:Z130)</f>
        <v>0</v>
      </c>
    </row>
    <row r="132" spans="1:26" s="47" customFormat="1" ht="14.25" customHeight="1">
      <c r="A132" s="100"/>
      <c r="B132" s="100"/>
      <c r="C132" s="185" t="s">
        <v>170</v>
      </c>
      <c r="D132" s="185"/>
      <c r="E132" s="102">
        <v>16</v>
      </c>
      <c r="F132" s="102">
        <v>22</v>
      </c>
      <c r="G132" s="102">
        <v>38</v>
      </c>
      <c r="H132" s="102">
        <v>46</v>
      </c>
      <c r="I132" s="102">
        <v>78</v>
      </c>
      <c r="J132" s="102"/>
      <c r="K132" s="102"/>
      <c r="L132" s="102"/>
      <c r="M132" s="102"/>
      <c r="N132" s="102"/>
      <c r="O132" s="102">
        <v>200</v>
      </c>
      <c r="P132" s="102"/>
      <c r="Q132" s="102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spans="1:26" s="47" customFormat="1" ht="14.25" customHeight="1">
      <c r="A133" s="100"/>
      <c r="B133" s="100"/>
      <c r="C133" s="185" t="s">
        <v>171</v>
      </c>
      <c r="D133" s="185"/>
      <c r="E133" s="102">
        <v>16</v>
      </c>
      <c r="F133" s="102">
        <v>22</v>
      </c>
      <c r="G133" s="102">
        <v>38</v>
      </c>
      <c r="H133" s="102">
        <v>46</v>
      </c>
      <c r="I133" s="102">
        <v>78</v>
      </c>
      <c r="J133" s="102"/>
      <c r="K133" s="102"/>
      <c r="L133" s="102"/>
      <c r="M133" s="102"/>
      <c r="N133" s="102"/>
      <c r="O133" s="102">
        <v>200</v>
      </c>
      <c r="P133" s="102"/>
      <c r="Q133" s="102"/>
      <c r="R133" s="93"/>
      <c r="S133" s="100"/>
      <c r="T133" s="100"/>
      <c r="U133" s="100"/>
      <c r="V133" s="100"/>
      <c r="W133" s="100"/>
      <c r="X133" s="100"/>
      <c r="Y133" s="100"/>
      <c r="Z133" s="100"/>
    </row>
    <row r="134" spans="1:26" s="47" customFormat="1" ht="14.25" customHeight="1">
      <c r="A134" s="100"/>
      <c r="B134" s="100"/>
      <c r="C134" s="185" t="s">
        <v>172</v>
      </c>
      <c r="D134" s="185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spans="1:26" s="47" customFormat="1" ht="14.25" customHeight="1">
      <c r="A135" s="100"/>
      <c r="B135" s="100"/>
      <c r="C135" s="185" t="s">
        <v>173</v>
      </c>
      <c r="D135" s="185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3"/>
      <c r="P135" s="103"/>
      <c r="Q135" s="103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spans="1:26" s="47" customFormat="1" ht="14.25" customHeight="1"/>
    <row r="137" spans="1:26" s="47" customFormat="1" ht="14.25" customHeight="1">
      <c r="A137" s="186" t="s">
        <v>147</v>
      </c>
      <c r="B137" s="186" t="s">
        <v>148</v>
      </c>
      <c r="C137" s="189" t="s">
        <v>149</v>
      </c>
      <c r="D137" s="92" t="s">
        <v>150</v>
      </c>
      <c r="E137" s="190" t="s">
        <v>151</v>
      </c>
      <c r="F137" s="190"/>
      <c r="G137" s="190"/>
      <c r="H137" s="190"/>
      <c r="I137" s="190"/>
      <c r="J137" s="190"/>
      <c r="K137" s="190"/>
      <c r="L137" s="190"/>
      <c r="M137" s="190"/>
      <c r="N137" s="190"/>
      <c r="O137" s="187" t="s">
        <v>152</v>
      </c>
      <c r="P137" s="94"/>
      <c r="Q137" s="94"/>
      <c r="R137" s="92" t="s">
        <v>153</v>
      </c>
      <c r="S137" s="92" t="s">
        <v>153</v>
      </c>
      <c r="T137" s="92" t="s">
        <v>154</v>
      </c>
      <c r="U137" s="92" t="s">
        <v>155</v>
      </c>
      <c r="V137" s="92" t="s">
        <v>154</v>
      </c>
      <c r="W137" s="92" t="s">
        <v>155</v>
      </c>
      <c r="X137" s="92" t="s">
        <v>156</v>
      </c>
      <c r="Y137" s="186" t="s">
        <v>103</v>
      </c>
      <c r="Z137" s="92" t="s">
        <v>157</v>
      </c>
    </row>
    <row r="138" spans="1:26" s="47" customFormat="1" ht="14.25" customHeight="1">
      <c r="A138" s="186"/>
      <c r="B138" s="186"/>
      <c r="C138" s="189"/>
      <c r="D138" s="95" t="s">
        <v>158</v>
      </c>
      <c r="E138" s="226" t="s">
        <v>183</v>
      </c>
      <c r="F138" s="226" t="s">
        <v>184</v>
      </c>
      <c r="G138" s="226" t="s">
        <v>185</v>
      </c>
      <c r="H138" s="226" t="s">
        <v>186</v>
      </c>
      <c r="I138" s="226" t="s">
        <v>187</v>
      </c>
      <c r="J138" s="226" t="s">
        <v>188</v>
      </c>
      <c r="K138" s="226" t="s">
        <v>189</v>
      </c>
      <c r="L138" s="226" t="s">
        <v>190</v>
      </c>
      <c r="M138" s="93"/>
      <c r="N138" s="93"/>
      <c r="O138" s="187"/>
      <c r="P138" s="96"/>
      <c r="Q138" s="96"/>
      <c r="R138" s="95" t="s">
        <v>164</v>
      </c>
      <c r="S138" s="95" t="s">
        <v>165</v>
      </c>
      <c r="T138" s="95" t="s">
        <v>156</v>
      </c>
      <c r="U138" s="95" t="s">
        <v>156</v>
      </c>
      <c r="V138" s="95" t="s">
        <v>166</v>
      </c>
      <c r="W138" s="95" t="s">
        <v>166</v>
      </c>
      <c r="X138" s="95" t="s">
        <v>102</v>
      </c>
      <c r="Y138" s="186"/>
      <c r="Z138" s="95" t="s">
        <v>167</v>
      </c>
    </row>
    <row r="139" spans="1:26" s="47" customFormat="1" ht="14.25" customHeight="1">
      <c r="A139" s="188" t="s">
        <v>70</v>
      </c>
      <c r="B139" s="188" t="s">
        <v>68</v>
      </c>
      <c r="C139" s="188" t="s">
        <v>195</v>
      </c>
      <c r="D139" s="188" t="s">
        <v>59</v>
      </c>
      <c r="E139" s="98">
        <v>66</v>
      </c>
      <c r="F139" s="98"/>
      <c r="G139" s="98"/>
      <c r="H139" s="98"/>
      <c r="I139" s="98"/>
      <c r="J139" s="98"/>
      <c r="K139" s="98"/>
      <c r="L139" s="98"/>
      <c r="M139" s="98"/>
      <c r="N139" s="98"/>
      <c r="O139" s="98">
        <f>Q130+1</f>
        <v>45</v>
      </c>
      <c r="P139" s="98"/>
      <c r="Q139" s="98">
        <f t="shared" ref="Q139:Q146" si="13">O139+R139-1</f>
        <v>45</v>
      </c>
      <c r="R139" s="98">
        <v>1</v>
      </c>
      <c r="S139" s="98">
        <f t="shared" ref="S139:S146" si="14">SUM(E139:N139)*R139</f>
        <v>66</v>
      </c>
      <c r="T139" s="98">
        <v>10.82</v>
      </c>
      <c r="U139" s="98">
        <v>9.24</v>
      </c>
      <c r="V139" s="98">
        <v>10.82</v>
      </c>
      <c r="W139" s="98">
        <v>9.24</v>
      </c>
      <c r="X139" s="98" t="s">
        <v>169</v>
      </c>
      <c r="Y139" s="98">
        <f t="shared" ref="Y139:Y146" si="15">IF(X139="595X289X390",0.071,IF(X139="597X292X191",0.034,IF(X139="560X600X390",0.132,IF(X139="560X400X390",0.088))))*R139</f>
        <v>7.0999999999999994E-2</v>
      </c>
      <c r="Z139" s="98">
        <v>0</v>
      </c>
    </row>
    <row r="140" spans="1:26" s="47" customFormat="1" ht="14.25" customHeight="1">
      <c r="A140" s="188"/>
      <c r="B140" s="188"/>
      <c r="C140" s="188"/>
      <c r="D140" s="188"/>
      <c r="E140" s="98"/>
      <c r="F140" s="98">
        <v>70</v>
      </c>
      <c r="G140" s="98"/>
      <c r="H140" s="98"/>
      <c r="I140" s="98"/>
      <c r="J140" s="98"/>
      <c r="K140" s="98"/>
      <c r="L140" s="98"/>
      <c r="M140" s="98"/>
      <c r="N140" s="98"/>
      <c r="O140" s="98">
        <f t="shared" ref="O140:O146" si="16">Q139+1</f>
        <v>46</v>
      </c>
      <c r="P140" s="98"/>
      <c r="Q140" s="98">
        <f t="shared" si="13"/>
        <v>46</v>
      </c>
      <c r="R140" s="98">
        <v>1</v>
      </c>
      <c r="S140" s="98">
        <f t="shared" si="14"/>
        <v>70</v>
      </c>
      <c r="T140" s="98">
        <v>13.58</v>
      </c>
      <c r="U140" s="98">
        <v>12</v>
      </c>
      <c r="V140" s="98">
        <v>13.58</v>
      </c>
      <c r="W140" s="98">
        <v>12</v>
      </c>
      <c r="X140" s="98" t="s">
        <v>169</v>
      </c>
      <c r="Y140" s="98">
        <f t="shared" si="15"/>
        <v>7.0999999999999994E-2</v>
      </c>
      <c r="Z140" s="98">
        <v>0</v>
      </c>
    </row>
    <row r="141" spans="1:26" s="47" customFormat="1" ht="14.25" customHeight="1">
      <c r="A141" s="188"/>
      <c r="B141" s="188"/>
      <c r="C141" s="188"/>
      <c r="D141" s="188"/>
      <c r="E141" s="98"/>
      <c r="F141" s="98">
        <v>34</v>
      </c>
      <c r="G141" s="98"/>
      <c r="H141" s="98"/>
      <c r="I141" s="98"/>
      <c r="J141" s="98"/>
      <c r="K141" s="98"/>
      <c r="L141" s="98"/>
      <c r="M141" s="98"/>
      <c r="N141" s="98"/>
      <c r="O141" s="98">
        <f t="shared" si="16"/>
        <v>47</v>
      </c>
      <c r="P141" s="98"/>
      <c r="Q141" s="98">
        <f t="shared" si="13"/>
        <v>47</v>
      </c>
      <c r="R141" s="98">
        <v>1</v>
      </c>
      <c r="S141" s="98">
        <f t="shared" si="14"/>
        <v>34</v>
      </c>
      <c r="T141" s="98">
        <v>4.58</v>
      </c>
      <c r="U141" s="98">
        <v>3.6</v>
      </c>
      <c r="V141" s="98">
        <v>4.58</v>
      </c>
      <c r="W141" s="98">
        <v>3.6</v>
      </c>
      <c r="X141" s="98" t="s">
        <v>181</v>
      </c>
      <c r="Y141" s="98">
        <f t="shared" si="15"/>
        <v>3.4000000000000002E-2</v>
      </c>
      <c r="Z141" s="98">
        <v>0</v>
      </c>
    </row>
    <row r="142" spans="1:26" s="47" customFormat="1" ht="14.25" customHeight="1">
      <c r="A142" s="188"/>
      <c r="B142" s="188"/>
      <c r="C142" s="188"/>
      <c r="D142" s="188"/>
      <c r="E142" s="98"/>
      <c r="F142" s="98"/>
      <c r="G142" s="98">
        <v>70</v>
      </c>
      <c r="H142" s="98"/>
      <c r="I142" s="98"/>
      <c r="J142" s="98"/>
      <c r="K142" s="98"/>
      <c r="L142" s="98"/>
      <c r="M142" s="98"/>
      <c r="N142" s="98"/>
      <c r="O142" s="98">
        <f t="shared" si="16"/>
        <v>48</v>
      </c>
      <c r="P142" s="98"/>
      <c r="Q142" s="98">
        <f t="shared" si="13"/>
        <v>48</v>
      </c>
      <c r="R142" s="98">
        <v>1</v>
      </c>
      <c r="S142" s="98">
        <f t="shared" si="14"/>
        <v>70</v>
      </c>
      <c r="T142" s="98">
        <v>14.38</v>
      </c>
      <c r="U142" s="98">
        <v>12.8</v>
      </c>
      <c r="V142" s="98">
        <v>14.38</v>
      </c>
      <c r="W142" s="98">
        <v>12.8</v>
      </c>
      <c r="X142" s="98" t="s">
        <v>169</v>
      </c>
      <c r="Y142" s="98">
        <f t="shared" si="15"/>
        <v>7.0999999999999994E-2</v>
      </c>
      <c r="Z142" s="98">
        <v>0</v>
      </c>
    </row>
    <row r="143" spans="1:26" s="47" customFormat="1" ht="14.25" customHeight="1">
      <c r="A143" s="188"/>
      <c r="B143" s="188"/>
      <c r="C143" s="188"/>
      <c r="D143" s="188"/>
      <c r="E143" s="98"/>
      <c r="F143" s="98"/>
      <c r="G143" s="98">
        <v>35</v>
      </c>
      <c r="H143" s="98"/>
      <c r="I143" s="98"/>
      <c r="J143" s="98"/>
      <c r="K143" s="98"/>
      <c r="L143" s="98"/>
      <c r="M143" s="98"/>
      <c r="N143" s="98"/>
      <c r="O143" s="98">
        <f t="shared" si="16"/>
        <v>49</v>
      </c>
      <c r="P143" s="98"/>
      <c r="Q143" s="98">
        <f t="shared" si="13"/>
        <v>49</v>
      </c>
      <c r="R143" s="98">
        <v>1</v>
      </c>
      <c r="S143" s="98">
        <f t="shared" si="14"/>
        <v>35</v>
      </c>
      <c r="T143" s="98">
        <v>5.78</v>
      </c>
      <c r="U143" s="98">
        <v>4.8</v>
      </c>
      <c r="V143" s="98">
        <v>5.78</v>
      </c>
      <c r="W143" s="98">
        <v>4.8</v>
      </c>
      <c r="X143" s="98" t="s">
        <v>181</v>
      </c>
      <c r="Y143" s="98">
        <f t="shared" si="15"/>
        <v>3.4000000000000002E-2</v>
      </c>
      <c r="Z143" s="98">
        <v>0</v>
      </c>
    </row>
    <row r="144" spans="1:26" s="47" customFormat="1" ht="14.25" customHeight="1">
      <c r="A144" s="188"/>
      <c r="B144" s="188"/>
      <c r="C144" s="188"/>
      <c r="D144" s="188"/>
      <c r="E144" s="98"/>
      <c r="F144" s="98"/>
      <c r="G144" s="98"/>
      <c r="H144" s="98">
        <v>60</v>
      </c>
      <c r="I144" s="98"/>
      <c r="J144" s="98"/>
      <c r="K144" s="98"/>
      <c r="L144" s="98"/>
      <c r="M144" s="98"/>
      <c r="N144" s="98"/>
      <c r="O144" s="98">
        <f t="shared" si="16"/>
        <v>50</v>
      </c>
      <c r="P144" s="98"/>
      <c r="Q144" s="98">
        <f t="shared" si="13"/>
        <v>50</v>
      </c>
      <c r="R144" s="98">
        <v>1</v>
      </c>
      <c r="S144" s="98">
        <f t="shared" si="14"/>
        <v>60</v>
      </c>
      <c r="T144" s="98">
        <v>11.78</v>
      </c>
      <c r="U144" s="98">
        <v>10.199999999999999</v>
      </c>
      <c r="V144" s="98">
        <v>11.78</v>
      </c>
      <c r="W144" s="98">
        <v>10.199999999999999</v>
      </c>
      <c r="X144" s="98" t="s">
        <v>169</v>
      </c>
      <c r="Y144" s="98">
        <f t="shared" si="15"/>
        <v>7.0999999999999994E-2</v>
      </c>
      <c r="Z144" s="98">
        <v>0</v>
      </c>
    </row>
    <row r="145" spans="1:28" ht="14.25" customHeight="1">
      <c r="A145" s="188"/>
      <c r="B145" s="188"/>
      <c r="C145" s="188"/>
      <c r="D145" s="188"/>
      <c r="E145" s="98"/>
      <c r="F145" s="98"/>
      <c r="G145" s="98"/>
      <c r="H145" s="98"/>
      <c r="I145" s="98">
        <v>32</v>
      </c>
      <c r="J145" s="98"/>
      <c r="K145" s="98"/>
      <c r="L145" s="98"/>
      <c r="M145" s="98"/>
      <c r="N145" s="98"/>
      <c r="O145" s="98">
        <f t="shared" si="16"/>
        <v>51</v>
      </c>
      <c r="P145" s="98"/>
      <c r="Q145" s="98">
        <f t="shared" si="13"/>
        <v>51</v>
      </c>
      <c r="R145" s="98">
        <v>1</v>
      </c>
      <c r="S145" s="98">
        <f t="shared" si="14"/>
        <v>32</v>
      </c>
      <c r="T145" s="98">
        <v>6.74</v>
      </c>
      <c r="U145" s="98">
        <v>5.76</v>
      </c>
      <c r="V145" s="98">
        <v>6.74</v>
      </c>
      <c r="W145" s="98">
        <v>5.76</v>
      </c>
      <c r="X145" s="98" t="s">
        <v>181</v>
      </c>
      <c r="Y145" s="98">
        <f t="shared" si="15"/>
        <v>3.4000000000000002E-2</v>
      </c>
      <c r="Z145" s="98">
        <v>0</v>
      </c>
      <c r="AA145" s="47"/>
      <c r="AB145" s="47"/>
    </row>
    <row r="146" spans="1:28" ht="14.25" customHeight="1">
      <c r="A146" s="188"/>
      <c r="B146" s="188"/>
      <c r="C146" s="188"/>
      <c r="D146" s="188"/>
      <c r="E146" s="98"/>
      <c r="F146" s="98"/>
      <c r="G146" s="98">
        <v>5</v>
      </c>
      <c r="H146" s="98"/>
      <c r="I146" s="98"/>
      <c r="J146" s="98">
        <v>14</v>
      </c>
      <c r="K146" s="98">
        <v>8</v>
      </c>
      <c r="L146" s="98">
        <v>6</v>
      </c>
      <c r="M146" s="98"/>
      <c r="N146" s="98"/>
      <c r="O146" s="98">
        <f t="shared" si="16"/>
        <v>52</v>
      </c>
      <c r="P146" s="98"/>
      <c r="Q146" s="98">
        <f t="shared" si="13"/>
        <v>52</v>
      </c>
      <c r="R146" s="98">
        <v>1</v>
      </c>
      <c r="S146" s="98">
        <f t="shared" si="14"/>
        <v>33</v>
      </c>
      <c r="T146" s="98">
        <v>3.64</v>
      </c>
      <c r="U146" s="98">
        <v>2.66</v>
      </c>
      <c r="V146" s="98">
        <v>3.64</v>
      </c>
      <c r="W146" s="98">
        <v>2.66</v>
      </c>
      <c r="X146" s="98" t="s">
        <v>181</v>
      </c>
      <c r="Y146" s="98">
        <f t="shared" si="15"/>
        <v>3.4000000000000002E-2</v>
      </c>
      <c r="Z146" s="98">
        <v>0</v>
      </c>
      <c r="AA146" s="47"/>
      <c r="AB146" s="47"/>
    </row>
    <row r="147" spans="1:28" ht="14.25" customHeight="1">
      <c r="A147" s="100"/>
      <c r="B147" s="100"/>
      <c r="C147" s="185" t="s">
        <v>61</v>
      </c>
      <c r="D147" s="185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2">
        <f t="shared" ref="R147:W147" si="17">SUM(R139:R146)</f>
        <v>8</v>
      </c>
      <c r="S147" s="102">
        <f t="shared" si="17"/>
        <v>400</v>
      </c>
      <c r="T147" s="93">
        <f t="shared" si="17"/>
        <v>71.3</v>
      </c>
      <c r="U147" s="93">
        <f t="shared" si="17"/>
        <v>61.06</v>
      </c>
      <c r="V147" s="93">
        <f t="shared" si="17"/>
        <v>71.3</v>
      </c>
      <c r="W147" s="93">
        <f t="shared" si="17"/>
        <v>61.06</v>
      </c>
      <c r="X147" s="93"/>
      <c r="Y147" s="93">
        <f>SUM(Y139:Y146)</f>
        <v>0.42000000000000004</v>
      </c>
      <c r="Z147" s="93">
        <f>SUM(Z139:Z146)</f>
        <v>0</v>
      </c>
      <c r="AA147" s="47"/>
      <c r="AB147" s="47"/>
    </row>
    <row r="148" spans="1:28" ht="14.25" customHeight="1">
      <c r="A148" s="100"/>
      <c r="B148" s="100"/>
      <c r="C148" s="185" t="s">
        <v>170</v>
      </c>
      <c r="D148" s="185"/>
      <c r="E148" s="102">
        <v>66</v>
      </c>
      <c r="F148" s="102">
        <v>104</v>
      </c>
      <c r="G148" s="102">
        <v>110</v>
      </c>
      <c r="H148" s="102">
        <v>60</v>
      </c>
      <c r="I148" s="102">
        <v>32</v>
      </c>
      <c r="J148" s="102">
        <v>14</v>
      </c>
      <c r="K148" s="102">
        <v>8</v>
      </c>
      <c r="L148" s="102">
        <v>6</v>
      </c>
      <c r="M148" s="102"/>
      <c r="N148" s="102"/>
      <c r="O148" s="102">
        <v>400</v>
      </c>
      <c r="P148" s="102"/>
      <c r="Q148" s="102"/>
      <c r="R148" s="93"/>
      <c r="S148" s="93"/>
      <c r="T148" s="93"/>
      <c r="U148" s="93"/>
      <c r="V148" s="100"/>
      <c r="W148" s="93"/>
      <c r="X148" s="93"/>
      <c r="Y148" s="100"/>
      <c r="Z148" s="100"/>
      <c r="AA148" s="47"/>
      <c r="AB148" s="47"/>
    </row>
    <row r="149" spans="1:28" ht="14.25" customHeight="1">
      <c r="A149" s="100"/>
      <c r="B149" s="100"/>
      <c r="C149" s="185" t="s">
        <v>171</v>
      </c>
      <c r="D149" s="185"/>
      <c r="E149" s="102">
        <v>66</v>
      </c>
      <c r="F149" s="102">
        <v>104</v>
      </c>
      <c r="G149" s="102">
        <v>110</v>
      </c>
      <c r="H149" s="102">
        <v>60</v>
      </c>
      <c r="I149" s="102">
        <v>32</v>
      </c>
      <c r="J149" s="102">
        <v>14</v>
      </c>
      <c r="K149" s="102">
        <v>8</v>
      </c>
      <c r="L149" s="102">
        <v>6</v>
      </c>
      <c r="M149" s="102"/>
      <c r="N149" s="102"/>
      <c r="O149" s="102">
        <v>400</v>
      </c>
      <c r="P149" s="102"/>
      <c r="Q149" s="102"/>
      <c r="R149" s="93"/>
      <c r="S149" s="100"/>
      <c r="T149" s="100"/>
      <c r="U149" s="100"/>
      <c r="V149" s="100"/>
      <c r="W149" s="100"/>
      <c r="X149" s="93"/>
      <c r="Y149" s="100"/>
      <c r="Z149" s="100"/>
      <c r="AA149" s="47"/>
      <c r="AB149" s="47"/>
    </row>
    <row r="150" spans="1:28" ht="14.25" customHeight="1">
      <c r="A150" s="100"/>
      <c r="B150" s="100"/>
      <c r="C150" s="185" t="s">
        <v>172</v>
      </c>
      <c r="D150" s="185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47"/>
      <c r="AB150" s="47"/>
    </row>
    <row r="151" spans="1:28" ht="14.25" customHeight="1">
      <c r="A151" s="100"/>
      <c r="B151" s="100"/>
      <c r="C151" s="185" t="s">
        <v>173</v>
      </c>
      <c r="D151" s="185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>
        <f>R33+R43+R57+R70+R84+R103+R120+R131+R147</f>
        <v>52</v>
      </c>
      <c r="S151" s="102">
        <f>S33+S43+S57+S70+S84+S103+S120+S131+S147</f>
        <v>1758</v>
      </c>
      <c r="T151" s="101"/>
      <c r="U151" s="101"/>
      <c r="V151" s="104">
        <f>V33+V43+V57+V70+V84+V103+V120+V131+V147</f>
        <v>575.81999999999994</v>
      </c>
      <c r="W151" s="104">
        <f>W33+W43+W57+W70+W84+W103+W120+W131+W147</f>
        <v>504.68</v>
      </c>
      <c r="X151" s="104"/>
      <c r="Y151" s="104">
        <f>Y33+Y43+Y57+Y70+Y84+Y103+Y120+Y131+Y147</f>
        <v>2.8410000000000002</v>
      </c>
      <c r="Z151" s="100"/>
      <c r="AA151" s="84"/>
      <c r="AB151" s="84"/>
    </row>
    <row r="152" spans="1:28" ht="14.2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</row>
    <row r="153" spans="1:28" ht="14.2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</row>
    <row r="154" spans="1:28" ht="14.2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</row>
    <row r="155" spans="1:28" ht="14.2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203"/>
      <c r="U155" s="203"/>
      <c r="V155" s="203"/>
      <c r="W155" s="203"/>
      <c r="X155" s="84"/>
      <c r="Y155" s="84"/>
      <c r="Z155" s="84"/>
      <c r="AA155" s="84"/>
      <c r="AB155" s="84"/>
    </row>
    <row r="156" spans="1:28" ht="14.2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204" t="s">
        <v>125</v>
      </c>
      <c r="U156" s="204"/>
      <c r="V156" s="204"/>
      <c r="W156" s="204"/>
      <c r="X156" s="84"/>
      <c r="Y156" s="84"/>
      <c r="Z156" s="84"/>
      <c r="AA156" s="84"/>
      <c r="AB156" s="84"/>
    </row>
    <row r="157" spans="1:28" ht="14.25" customHeight="1">
      <c r="A157" s="201"/>
      <c r="B157" s="201"/>
      <c r="C157" s="201"/>
      <c r="D157" s="201"/>
      <c r="E157" s="201"/>
      <c r="F157" s="201"/>
      <c r="G157" s="201"/>
      <c r="H157" s="201"/>
      <c r="I157" s="202" t="s">
        <v>196</v>
      </c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47"/>
      <c r="AB157" s="47"/>
    </row>
    <row r="158" spans="1:28" ht="14.25" customHeight="1">
      <c r="A158" s="201"/>
      <c r="B158" s="201"/>
      <c r="C158" s="201"/>
      <c r="D158" s="201"/>
      <c r="E158" s="201"/>
      <c r="F158" s="201"/>
      <c r="G158" s="201"/>
      <c r="H158" s="201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47"/>
      <c r="AB158" s="47"/>
    </row>
    <row r="159" spans="1:28" ht="14.25" customHeight="1">
      <c r="A159" s="201"/>
      <c r="B159" s="201"/>
      <c r="C159" s="201"/>
      <c r="D159" s="201"/>
      <c r="E159" s="201"/>
      <c r="F159" s="201"/>
      <c r="G159" s="201"/>
      <c r="H159" s="201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47"/>
      <c r="AB159" s="47"/>
    </row>
    <row r="160" spans="1:28" ht="14.25" customHeight="1">
      <c r="A160" s="201"/>
      <c r="B160" s="201"/>
      <c r="C160" s="201"/>
      <c r="D160" s="201"/>
      <c r="E160" s="201"/>
      <c r="F160" s="201"/>
      <c r="G160" s="201"/>
      <c r="H160" s="201"/>
      <c r="I160" s="105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47"/>
      <c r="AB160" s="47"/>
    </row>
    <row r="161" spans="1:26" s="47" customFormat="1" ht="14.25" customHeight="1">
      <c r="A161" s="201"/>
      <c r="B161" s="201"/>
      <c r="C161" s="201"/>
      <c r="D161" s="201"/>
      <c r="E161" s="201"/>
      <c r="F161" s="201"/>
      <c r="G161" s="201"/>
      <c r="H161" s="201"/>
      <c r="I161" s="107" t="s">
        <v>197</v>
      </c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s="47" customFormat="1" ht="14.25" customHeight="1">
      <c r="A162" s="198" t="s">
        <v>147</v>
      </c>
      <c r="B162" s="198" t="s">
        <v>148</v>
      </c>
      <c r="C162" s="199" t="s">
        <v>149</v>
      </c>
      <c r="D162" s="109" t="s">
        <v>150</v>
      </c>
      <c r="E162" s="200" t="s">
        <v>151</v>
      </c>
      <c r="F162" s="200"/>
      <c r="G162" s="200"/>
      <c r="H162" s="200"/>
      <c r="I162" s="200"/>
      <c r="J162" s="200"/>
      <c r="K162" s="200"/>
      <c r="L162" s="200"/>
      <c r="M162" s="200"/>
      <c r="N162" s="200"/>
      <c r="O162" s="197" t="s">
        <v>152</v>
      </c>
      <c r="P162" s="197"/>
      <c r="Q162" s="197"/>
      <c r="R162" s="109" t="s">
        <v>153</v>
      </c>
      <c r="S162" s="109" t="s">
        <v>153</v>
      </c>
      <c r="T162" s="109" t="s">
        <v>154</v>
      </c>
      <c r="U162" s="109" t="s">
        <v>155</v>
      </c>
      <c r="V162" s="109" t="s">
        <v>154</v>
      </c>
      <c r="W162" s="109" t="s">
        <v>155</v>
      </c>
      <c r="X162" s="109" t="s">
        <v>156</v>
      </c>
      <c r="Y162" s="198" t="s">
        <v>103</v>
      </c>
      <c r="Z162" s="109" t="s">
        <v>157</v>
      </c>
    </row>
    <row r="163" spans="1:26" s="47" customFormat="1" ht="14.25" customHeight="1">
      <c r="A163" s="198"/>
      <c r="B163" s="198"/>
      <c r="C163" s="199"/>
      <c r="D163" s="111" t="s">
        <v>158</v>
      </c>
      <c r="E163" s="110" t="s">
        <v>174</v>
      </c>
      <c r="F163" s="110" t="s">
        <v>175</v>
      </c>
      <c r="G163" s="110" t="s">
        <v>176</v>
      </c>
      <c r="H163" s="110" t="s">
        <v>177</v>
      </c>
      <c r="I163" s="110" t="s">
        <v>178</v>
      </c>
      <c r="J163" s="110"/>
      <c r="K163" s="110"/>
      <c r="L163" s="110"/>
      <c r="M163" s="110"/>
      <c r="N163" s="110"/>
      <c r="O163" s="197"/>
      <c r="P163" s="197"/>
      <c r="Q163" s="197"/>
      <c r="R163" s="111" t="s">
        <v>164</v>
      </c>
      <c r="S163" s="111" t="s">
        <v>165</v>
      </c>
      <c r="T163" s="111" t="s">
        <v>156</v>
      </c>
      <c r="U163" s="111" t="s">
        <v>156</v>
      </c>
      <c r="V163" s="111" t="s">
        <v>166</v>
      </c>
      <c r="W163" s="111" t="s">
        <v>166</v>
      </c>
      <c r="X163" s="111" t="s">
        <v>102</v>
      </c>
      <c r="Y163" s="198"/>
      <c r="Z163" s="111" t="s">
        <v>167</v>
      </c>
    </row>
    <row r="164" spans="1:26" s="47" customFormat="1" ht="14.25" customHeight="1">
      <c r="A164" s="188" t="s">
        <v>92</v>
      </c>
      <c r="B164" s="188" t="s">
        <v>46</v>
      </c>
      <c r="C164" s="188" t="s">
        <v>198</v>
      </c>
      <c r="D164" s="188" t="s">
        <v>41</v>
      </c>
      <c r="E164" s="98">
        <v>18</v>
      </c>
      <c r="F164" s="98"/>
      <c r="G164" s="98"/>
      <c r="H164" s="98"/>
      <c r="I164" s="98"/>
      <c r="J164" s="98"/>
      <c r="K164" s="98"/>
      <c r="L164" s="98"/>
      <c r="M164" s="98"/>
      <c r="N164" s="98"/>
      <c r="O164" s="98">
        <v>1</v>
      </c>
      <c r="P164" s="98"/>
      <c r="Q164" s="98">
        <f t="shared" ref="Q164:Q169" si="18">O164+R164-1</f>
        <v>1</v>
      </c>
      <c r="R164" s="98">
        <v>1</v>
      </c>
      <c r="S164" s="98">
        <f t="shared" ref="S164:S169" si="19">SUM(E164:N164)*R164</f>
        <v>18</v>
      </c>
      <c r="T164" s="98">
        <v>3.5</v>
      </c>
      <c r="U164" s="98">
        <v>2.52</v>
      </c>
      <c r="V164" s="112">
        <v>3.5</v>
      </c>
      <c r="W164" s="112">
        <v>2.52</v>
      </c>
      <c r="X164" s="98" t="s">
        <v>181</v>
      </c>
      <c r="Y164" s="98">
        <f t="shared" ref="Y164:Y169" si="20">IF(X164="595X289X390",0.071,IF(X164="597X292X191",0.034,IF(X164="560X600X390",0.132,IF(X164="560X400X390",0.088))))*R164</f>
        <v>3.4000000000000002E-2</v>
      </c>
      <c r="Z164" s="98">
        <v>0</v>
      </c>
    </row>
    <row r="165" spans="1:26" s="47" customFormat="1" ht="14.25" customHeight="1">
      <c r="A165" s="188"/>
      <c r="B165" s="188"/>
      <c r="C165" s="188"/>
      <c r="D165" s="188"/>
      <c r="E165" s="98"/>
      <c r="F165" s="98">
        <v>20</v>
      </c>
      <c r="G165" s="98"/>
      <c r="H165" s="98"/>
      <c r="I165" s="98"/>
      <c r="J165" s="98"/>
      <c r="K165" s="98"/>
      <c r="L165" s="98"/>
      <c r="M165" s="98"/>
      <c r="N165" s="98"/>
      <c r="O165" s="98">
        <f>Q164+1</f>
        <v>2</v>
      </c>
      <c r="P165" s="98"/>
      <c r="Q165" s="98">
        <f t="shared" si="18"/>
        <v>2</v>
      </c>
      <c r="R165" s="98">
        <v>1</v>
      </c>
      <c r="S165" s="98">
        <f t="shared" si="19"/>
        <v>20</v>
      </c>
      <c r="T165" s="98">
        <v>5.74</v>
      </c>
      <c r="U165" s="98">
        <v>4.16</v>
      </c>
      <c r="V165" s="98">
        <v>5.74</v>
      </c>
      <c r="W165" s="98">
        <v>4.16</v>
      </c>
      <c r="X165" s="98" t="s">
        <v>181</v>
      </c>
      <c r="Y165" s="98">
        <f t="shared" si="20"/>
        <v>3.4000000000000002E-2</v>
      </c>
      <c r="Z165" s="98">
        <v>0</v>
      </c>
    </row>
    <row r="166" spans="1:26" s="47" customFormat="1" ht="14.25" customHeight="1">
      <c r="A166" s="188"/>
      <c r="B166" s="188"/>
      <c r="C166" s="188"/>
      <c r="D166" s="188"/>
      <c r="E166" s="98"/>
      <c r="F166" s="98"/>
      <c r="G166" s="98">
        <v>20</v>
      </c>
      <c r="H166" s="98"/>
      <c r="I166" s="98"/>
      <c r="J166" s="98"/>
      <c r="K166" s="98"/>
      <c r="L166" s="98"/>
      <c r="M166" s="98"/>
      <c r="N166" s="98"/>
      <c r="O166" s="98">
        <f>Q165+1</f>
        <v>3</v>
      </c>
      <c r="P166" s="98"/>
      <c r="Q166" s="98">
        <f t="shared" si="18"/>
        <v>3</v>
      </c>
      <c r="R166" s="98">
        <v>1</v>
      </c>
      <c r="S166" s="98">
        <f t="shared" si="19"/>
        <v>20</v>
      </c>
      <c r="T166" s="98">
        <v>6.62</v>
      </c>
      <c r="U166" s="98">
        <v>5.04</v>
      </c>
      <c r="V166" s="98">
        <v>6.62</v>
      </c>
      <c r="W166" s="98">
        <v>5.04</v>
      </c>
      <c r="X166" s="98" t="s">
        <v>181</v>
      </c>
      <c r="Y166" s="98">
        <f t="shared" si="20"/>
        <v>3.4000000000000002E-2</v>
      </c>
      <c r="Z166" s="98">
        <v>0</v>
      </c>
    </row>
    <row r="167" spans="1:26" s="47" customFormat="1" ht="14.25" customHeight="1">
      <c r="A167" s="188"/>
      <c r="B167" s="188"/>
      <c r="C167" s="188"/>
      <c r="D167" s="188"/>
      <c r="E167" s="98"/>
      <c r="F167" s="98"/>
      <c r="G167" s="98"/>
      <c r="H167" s="98">
        <v>32</v>
      </c>
      <c r="I167" s="98"/>
      <c r="J167" s="98"/>
      <c r="K167" s="98"/>
      <c r="L167" s="98"/>
      <c r="M167" s="98"/>
      <c r="N167" s="98"/>
      <c r="O167" s="98">
        <f>Q166+1</f>
        <v>4</v>
      </c>
      <c r="P167" s="98"/>
      <c r="Q167" s="98">
        <f t="shared" si="18"/>
        <v>4</v>
      </c>
      <c r="R167" s="98">
        <v>1</v>
      </c>
      <c r="S167" s="98">
        <f t="shared" si="19"/>
        <v>32</v>
      </c>
      <c r="T167" s="98">
        <v>7.98</v>
      </c>
      <c r="U167" s="98">
        <v>6.4</v>
      </c>
      <c r="V167" s="98">
        <v>7.98</v>
      </c>
      <c r="W167" s="98">
        <v>6.4</v>
      </c>
      <c r="X167" s="98" t="s">
        <v>181</v>
      </c>
      <c r="Y167" s="98">
        <f t="shared" si="20"/>
        <v>3.4000000000000002E-2</v>
      </c>
      <c r="Z167" s="98">
        <v>0</v>
      </c>
    </row>
    <row r="168" spans="1:26" s="47" customFormat="1" ht="14.25" customHeight="1">
      <c r="A168" s="188"/>
      <c r="B168" s="188"/>
      <c r="C168" s="188"/>
      <c r="D168" s="188"/>
      <c r="E168" s="98"/>
      <c r="F168" s="98"/>
      <c r="G168" s="98"/>
      <c r="H168" s="98"/>
      <c r="I168" s="98">
        <v>40</v>
      </c>
      <c r="J168" s="98"/>
      <c r="K168" s="98"/>
      <c r="L168" s="98"/>
      <c r="M168" s="98"/>
      <c r="N168" s="98"/>
      <c r="O168" s="98">
        <f>Q167+1</f>
        <v>5</v>
      </c>
      <c r="P168" s="98"/>
      <c r="Q168" s="98">
        <f t="shared" si="18"/>
        <v>5</v>
      </c>
      <c r="R168" s="98">
        <v>1</v>
      </c>
      <c r="S168" s="98">
        <f t="shared" si="19"/>
        <v>40</v>
      </c>
      <c r="T168" s="98">
        <v>7.98</v>
      </c>
      <c r="U168" s="98">
        <v>6.4</v>
      </c>
      <c r="V168" s="98">
        <v>7.98</v>
      </c>
      <c r="W168" s="98">
        <v>6.4</v>
      </c>
      <c r="X168" s="98" t="s">
        <v>169</v>
      </c>
      <c r="Y168" s="98">
        <f t="shared" si="20"/>
        <v>7.0999999999999994E-2</v>
      </c>
      <c r="Z168" s="98">
        <v>0</v>
      </c>
    </row>
    <row r="169" spans="1:26" s="47" customFormat="1" ht="14.25" customHeight="1">
      <c r="A169" s="188"/>
      <c r="B169" s="188"/>
      <c r="C169" s="188"/>
      <c r="D169" s="188"/>
      <c r="E169" s="98"/>
      <c r="F169" s="98">
        <v>6</v>
      </c>
      <c r="G169" s="98">
        <v>8</v>
      </c>
      <c r="H169" s="98"/>
      <c r="I169" s="98">
        <v>8</v>
      </c>
      <c r="J169" s="98"/>
      <c r="K169" s="98"/>
      <c r="L169" s="98"/>
      <c r="M169" s="98"/>
      <c r="N169" s="98"/>
      <c r="O169" s="98">
        <f>Q168+1</f>
        <v>6</v>
      </c>
      <c r="P169" s="98"/>
      <c r="Q169" s="98">
        <f t="shared" si="18"/>
        <v>6</v>
      </c>
      <c r="R169" s="98">
        <v>1</v>
      </c>
      <c r="S169" s="98">
        <f t="shared" si="19"/>
        <v>22</v>
      </c>
      <c r="T169" s="98">
        <v>7.98</v>
      </c>
      <c r="U169" s="98">
        <v>6.4</v>
      </c>
      <c r="V169" s="98">
        <v>7.98</v>
      </c>
      <c r="W169" s="98">
        <v>6.4</v>
      </c>
      <c r="X169" s="98" t="s">
        <v>181</v>
      </c>
      <c r="Y169" s="98">
        <f t="shared" si="20"/>
        <v>3.4000000000000002E-2</v>
      </c>
      <c r="Z169" s="98">
        <v>0</v>
      </c>
    </row>
    <row r="170" spans="1:26" s="47" customFormat="1" ht="14.25" customHeight="1">
      <c r="A170" s="100"/>
      <c r="B170" s="100"/>
      <c r="C170" s="192" t="s">
        <v>61</v>
      </c>
      <c r="D170" s="192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13">
        <f>SUM(R164:R169)</f>
        <v>6</v>
      </c>
      <c r="S170" s="113">
        <f>SUM(S164:S169)</f>
        <v>152</v>
      </c>
      <c r="T170" s="110">
        <v>35.979999999999997</v>
      </c>
      <c r="U170" s="110">
        <v>28.68</v>
      </c>
      <c r="V170" s="110">
        <v>35.979999999999997</v>
      </c>
      <c r="W170" s="110">
        <v>28.68</v>
      </c>
      <c r="X170" s="110"/>
      <c r="Y170" s="110">
        <f>SUM(Y164:Y169)</f>
        <v>0.24100000000000002</v>
      </c>
      <c r="Z170" s="110">
        <v>0</v>
      </c>
    </row>
    <row r="171" spans="1:26" s="47" customFormat="1" ht="14.25" customHeight="1">
      <c r="A171" s="100"/>
      <c r="B171" s="100"/>
      <c r="C171" s="192" t="s">
        <v>170</v>
      </c>
      <c r="D171" s="192"/>
      <c r="E171" s="113">
        <v>18</v>
      </c>
      <c r="F171" s="113">
        <v>26</v>
      </c>
      <c r="G171" s="113">
        <v>28</v>
      </c>
      <c r="H171" s="113">
        <v>32</v>
      </c>
      <c r="I171" s="113">
        <v>48</v>
      </c>
      <c r="J171" s="113"/>
      <c r="K171" s="113"/>
      <c r="L171" s="113"/>
      <c r="M171" s="113"/>
      <c r="N171" s="113"/>
      <c r="O171" s="113">
        <f>SUM(E171:N171)</f>
        <v>152</v>
      </c>
      <c r="P171" s="113"/>
      <c r="Q171" s="113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spans="1:26" s="47" customFormat="1" ht="14.25" customHeight="1">
      <c r="A172" s="100"/>
      <c r="B172" s="100"/>
      <c r="C172" s="192" t="s">
        <v>171</v>
      </c>
      <c r="D172" s="192"/>
      <c r="E172" s="113">
        <v>18</v>
      </c>
      <c r="F172" s="113">
        <v>26</v>
      </c>
      <c r="G172" s="113">
        <v>28</v>
      </c>
      <c r="H172" s="113">
        <v>32</v>
      </c>
      <c r="I172" s="113">
        <v>48</v>
      </c>
      <c r="J172" s="113"/>
      <c r="K172" s="113"/>
      <c r="L172" s="113"/>
      <c r="M172" s="113"/>
      <c r="N172" s="113"/>
      <c r="O172" s="113">
        <f>SUM(E172:N172)</f>
        <v>152</v>
      </c>
      <c r="P172" s="113"/>
      <c r="Q172" s="113"/>
      <c r="R172" s="110"/>
      <c r="S172" s="100"/>
      <c r="T172" s="100"/>
      <c r="U172" s="100"/>
      <c r="V172" s="100"/>
      <c r="W172" s="100"/>
      <c r="X172" s="100"/>
      <c r="Y172" s="100"/>
      <c r="Z172" s="100"/>
    </row>
    <row r="173" spans="1:26" s="47" customFormat="1" ht="14.25" customHeight="1">
      <c r="A173" s="100"/>
      <c r="B173" s="100"/>
      <c r="C173" s="192" t="s">
        <v>172</v>
      </c>
      <c r="D173" s="192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spans="1:26" s="47" customFormat="1" ht="14.25" customHeight="1">
      <c r="A174" s="100"/>
      <c r="B174" s="100"/>
      <c r="C174" s="192" t="s">
        <v>173</v>
      </c>
      <c r="D174" s="192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03"/>
      <c r="P174" s="103"/>
      <c r="Q174" s="103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spans="1:26" s="47" customFormat="1" ht="14.25" customHeight="1"/>
    <row r="176" spans="1:26" s="47" customFormat="1" ht="14.25" customHeight="1">
      <c r="A176" s="198" t="s">
        <v>147</v>
      </c>
      <c r="B176" s="198" t="s">
        <v>148</v>
      </c>
      <c r="C176" s="199" t="s">
        <v>149</v>
      </c>
      <c r="D176" s="109" t="s">
        <v>150</v>
      </c>
      <c r="E176" s="200" t="s">
        <v>151</v>
      </c>
      <c r="F176" s="200"/>
      <c r="G176" s="200"/>
      <c r="H176" s="200"/>
      <c r="I176" s="200"/>
      <c r="J176" s="200"/>
      <c r="K176" s="200"/>
      <c r="L176" s="200"/>
      <c r="M176" s="200"/>
      <c r="N176" s="200"/>
      <c r="O176" s="197" t="s">
        <v>152</v>
      </c>
      <c r="P176" s="197"/>
      <c r="Q176" s="197"/>
      <c r="R176" s="109" t="s">
        <v>153</v>
      </c>
      <c r="S176" s="109" t="s">
        <v>153</v>
      </c>
      <c r="T176" s="109" t="s">
        <v>154</v>
      </c>
      <c r="U176" s="109" t="s">
        <v>155</v>
      </c>
      <c r="V176" s="109" t="s">
        <v>154</v>
      </c>
      <c r="W176" s="109" t="s">
        <v>155</v>
      </c>
      <c r="X176" s="109" t="s">
        <v>156</v>
      </c>
      <c r="Y176" s="198" t="s">
        <v>103</v>
      </c>
      <c r="Z176" s="109" t="s">
        <v>157</v>
      </c>
    </row>
    <row r="177" spans="1:26" s="47" customFormat="1" ht="14.25" customHeight="1">
      <c r="A177" s="198"/>
      <c r="B177" s="198"/>
      <c r="C177" s="199"/>
      <c r="D177" s="111" t="s">
        <v>158</v>
      </c>
      <c r="E177" s="110" t="s">
        <v>183</v>
      </c>
      <c r="F177" s="110" t="s">
        <v>184</v>
      </c>
      <c r="G177" s="110" t="s">
        <v>185</v>
      </c>
      <c r="H177" s="110" t="s">
        <v>186</v>
      </c>
      <c r="I177" s="110" t="s">
        <v>187</v>
      </c>
      <c r="J177" s="110" t="s">
        <v>188</v>
      </c>
      <c r="K177" s="110" t="s">
        <v>189</v>
      </c>
      <c r="L177" s="110" t="s">
        <v>190</v>
      </c>
      <c r="M177" s="110"/>
      <c r="N177" s="110"/>
      <c r="O177" s="197"/>
      <c r="P177" s="197"/>
      <c r="Q177" s="197"/>
      <c r="R177" s="111" t="s">
        <v>164</v>
      </c>
      <c r="S177" s="111" t="s">
        <v>165</v>
      </c>
      <c r="T177" s="111" t="s">
        <v>156</v>
      </c>
      <c r="U177" s="111" t="s">
        <v>156</v>
      </c>
      <c r="V177" s="111" t="s">
        <v>166</v>
      </c>
      <c r="W177" s="111" t="s">
        <v>166</v>
      </c>
      <c r="X177" s="111" t="s">
        <v>102</v>
      </c>
      <c r="Y177" s="198"/>
      <c r="Z177" s="111" t="s">
        <v>167</v>
      </c>
    </row>
    <row r="178" spans="1:26" s="47" customFormat="1" ht="14.25" customHeight="1">
      <c r="A178" s="188" t="s">
        <v>93</v>
      </c>
      <c r="B178" s="188" t="s">
        <v>46</v>
      </c>
      <c r="C178" s="188" t="s">
        <v>199</v>
      </c>
      <c r="D178" s="188" t="s">
        <v>47</v>
      </c>
      <c r="E178" s="98">
        <v>28</v>
      </c>
      <c r="F178" s="98"/>
      <c r="G178" s="98"/>
      <c r="H178" s="98"/>
      <c r="I178" s="98"/>
      <c r="J178" s="98"/>
      <c r="K178" s="98"/>
      <c r="L178" s="98"/>
      <c r="M178" s="98"/>
      <c r="N178" s="98"/>
      <c r="O178" s="98">
        <f>Q169+1</f>
        <v>7</v>
      </c>
      <c r="P178" s="98"/>
      <c r="Q178" s="98">
        <f t="shared" ref="Q178:Q188" si="21">O178+R178-1</f>
        <v>7</v>
      </c>
      <c r="R178" s="98">
        <v>1</v>
      </c>
      <c r="S178" s="98">
        <f t="shared" ref="S178:S188" si="22">SUM(E178:N178)*R178</f>
        <v>28</v>
      </c>
      <c r="T178" s="98">
        <v>13.62</v>
      </c>
      <c r="U178" s="98">
        <v>12.04</v>
      </c>
      <c r="V178" s="98">
        <v>13.62</v>
      </c>
      <c r="W178" s="98">
        <v>12.04</v>
      </c>
      <c r="X178" s="98" t="s">
        <v>169</v>
      </c>
      <c r="Y178" s="98">
        <f t="shared" ref="Y178:Y188" si="23">IF(X178="595X289X390",0.071,IF(X178="597X292X191",0.034,IF(X178="560X600X390",0.132,IF(X178="560X400X390",0.088))))*R178</f>
        <v>7.0999999999999994E-2</v>
      </c>
      <c r="Z178" s="98">
        <v>0</v>
      </c>
    </row>
    <row r="179" spans="1:26" s="47" customFormat="1" ht="14.25" customHeight="1">
      <c r="A179" s="188"/>
      <c r="B179" s="188"/>
      <c r="C179" s="188"/>
      <c r="D179" s="188"/>
      <c r="E179" s="98"/>
      <c r="F179" s="98">
        <v>30</v>
      </c>
      <c r="G179" s="98"/>
      <c r="H179" s="98"/>
      <c r="I179" s="98"/>
      <c r="J179" s="98"/>
      <c r="K179" s="98"/>
      <c r="L179" s="98"/>
      <c r="M179" s="98"/>
      <c r="N179" s="98"/>
      <c r="O179" s="98">
        <f t="shared" ref="O179:O188" si="24">Q178+1</f>
        <v>8</v>
      </c>
      <c r="P179" s="98"/>
      <c r="Q179" s="98">
        <f t="shared" si="21"/>
        <v>8</v>
      </c>
      <c r="R179" s="98">
        <v>1</v>
      </c>
      <c r="S179" s="98">
        <f t="shared" si="22"/>
        <v>30</v>
      </c>
      <c r="T179" s="98">
        <v>19.579999999999998</v>
      </c>
      <c r="U179" s="98">
        <v>18</v>
      </c>
      <c r="V179" s="98">
        <v>19.579999999999998</v>
      </c>
      <c r="W179" s="98">
        <v>18</v>
      </c>
      <c r="X179" s="98" t="s">
        <v>169</v>
      </c>
      <c r="Y179" s="98">
        <f t="shared" si="23"/>
        <v>7.0999999999999994E-2</v>
      </c>
      <c r="Z179" s="98">
        <v>0</v>
      </c>
    </row>
    <row r="180" spans="1:26" s="47" customFormat="1" ht="14.25" customHeight="1">
      <c r="A180" s="188"/>
      <c r="B180" s="188"/>
      <c r="C180" s="188"/>
      <c r="D180" s="188"/>
      <c r="E180" s="98"/>
      <c r="F180" s="98">
        <v>14</v>
      </c>
      <c r="G180" s="98"/>
      <c r="H180" s="98"/>
      <c r="I180" s="98"/>
      <c r="J180" s="98"/>
      <c r="K180" s="98"/>
      <c r="L180" s="98"/>
      <c r="M180" s="98"/>
      <c r="N180" s="98"/>
      <c r="O180" s="98">
        <f t="shared" si="24"/>
        <v>9</v>
      </c>
      <c r="P180" s="98"/>
      <c r="Q180" s="98">
        <f t="shared" si="21"/>
        <v>9</v>
      </c>
      <c r="R180" s="98">
        <v>1</v>
      </c>
      <c r="S180" s="98">
        <f t="shared" si="22"/>
        <v>14</v>
      </c>
      <c r="T180" s="98">
        <v>7.28</v>
      </c>
      <c r="U180" s="98">
        <v>6.3</v>
      </c>
      <c r="V180" s="98">
        <v>7.28</v>
      </c>
      <c r="W180" s="98">
        <v>6.3</v>
      </c>
      <c r="X180" s="98" t="s">
        <v>181</v>
      </c>
      <c r="Y180" s="98">
        <f t="shared" si="23"/>
        <v>3.4000000000000002E-2</v>
      </c>
      <c r="Z180" s="98">
        <v>0</v>
      </c>
    </row>
    <row r="181" spans="1:26" s="47" customFormat="1" ht="14.25" customHeight="1">
      <c r="A181" s="188"/>
      <c r="B181" s="188"/>
      <c r="C181" s="188"/>
      <c r="D181" s="188"/>
      <c r="E181" s="98"/>
      <c r="F181" s="98"/>
      <c r="G181" s="98">
        <v>30</v>
      </c>
      <c r="H181" s="98"/>
      <c r="I181" s="98"/>
      <c r="J181" s="98"/>
      <c r="K181" s="98"/>
      <c r="L181" s="98"/>
      <c r="M181" s="98"/>
      <c r="N181" s="98"/>
      <c r="O181" s="98">
        <f t="shared" si="24"/>
        <v>10</v>
      </c>
      <c r="P181" s="98"/>
      <c r="Q181" s="98">
        <f t="shared" si="21"/>
        <v>11</v>
      </c>
      <c r="R181" s="98">
        <v>2</v>
      </c>
      <c r="S181" s="98">
        <f t="shared" si="22"/>
        <v>60</v>
      </c>
      <c r="T181" s="98">
        <v>20.38</v>
      </c>
      <c r="U181" s="98">
        <v>18.8</v>
      </c>
      <c r="V181" s="98">
        <v>40.76</v>
      </c>
      <c r="W181" s="98">
        <v>37.6</v>
      </c>
      <c r="X181" s="98" t="s">
        <v>169</v>
      </c>
      <c r="Y181" s="98">
        <f t="shared" si="23"/>
        <v>0.14199999999999999</v>
      </c>
      <c r="Z181" s="98">
        <v>0</v>
      </c>
    </row>
    <row r="182" spans="1:26" s="47" customFormat="1" ht="14.25" customHeight="1">
      <c r="A182" s="188"/>
      <c r="B182" s="188"/>
      <c r="C182" s="188"/>
      <c r="D182" s="188"/>
      <c r="E182" s="98"/>
      <c r="F182" s="98"/>
      <c r="G182" s="98">
        <v>14</v>
      </c>
      <c r="H182" s="98"/>
      <c r="I182" s="98"/>
      <c r="J182" s="98"/>
      <c r="K182" s="98"/>
      <c r="L182" s="98"/>
      <c r="M182" s="98"/>
      <c r="N182" s="98"/>
      <c r="O182" s="98">
        <f t="shared" si="24"/>
        <v>12</v>
      </c>
      <c r="P182" s="98"/>
      <c r="Q182" s="98">
        <f t="shared" si="21"/>
        <v>12</v>
      </c>
      <c r="R182" s="98">
        <v>1</v>
      </c>
      <c r="S182" s="98">
        <f t="shared" si="22"/>
        <v>14</v>
      </c>
      <c r="T182" s="98">
        <v>21.18</v>
      </c>
      <c r="U182" s="98">
        <v>19.600000000000001</v>
      </c>
      <c r="V182" s="98">
        <v>21.18</v>
      </c>
      <c r="W182" s="98">
        <v>19.600000000000001</v>
      </c>
      <c r="X182" s="98" t="s">
        <v>181</v>
      </c>
      <c r="Y182" s="98">
        <f t="shared" si="23"/>
        <v>3.4000000000000002E-2</v>
      </c>
      <c r="Z182" s="98">
        <v>0</v>
      </c>
    </row>
    <row r="183" spans="1:26" s="47" customFormat="1" ht="14.25" customHeight="1">
      <c r="A183" s="188"/>
      <c r="B183" s="188"/>
      <c r="C183" s="188"/>
      <c r="D183" s="188"/>
      <c r="E183" s="98"/>
      <c r="F183" s="98"/>
      <c r="G183" s="98"/>
      <c r="H183" s="98">
        <v>30</v>
      </c>
      <c r="I183" s="98"/>
      <c r="J183" s="98"/>
      <c r="K183" s="98"/>
      <c r="L183" s="98"/>
      <c r="M183" s="98"/>
      <c r="N183" s="98"/>
      <c r="O183" s="98">
        <f t="shared" si="24"/>
        <v>13</v>
      </c>
      <c r="P183" s="98"/>
      <c r="Q183" s="98">
        <f t="shared" si="21"/>
        <v>14</v>
      </c>
      <c r="R183" s="98">
        <v>2</v>
      </c>
      <c r="S183" s="98">
        <f t="shared" si="22"/>
        <v>60</v>
      </c>
      <c r="T183" s="98">
        <v>10.78</v>
      </c>
      <c r="U183" s="98">
        <v>9.8000000000000007</v>
      </c>
      <c r="V183" s="98">
        <v>10.78</v>
      </c>
      <c r="W183" s="98">
        <v>9.8000000000000007</v>
      </c>
      <c r="X183" s="98" t="s">
        <v>169</v>
      </c>
      <c r="Y183" s="98">
        <f t="shared" si="23"/>
        <v>0.14199999999999999</v>
      </c>
      <c r="Z183" s="98">
        <v>0</v>
      </c>
    </row>
    <row r="184" spans="1:26" s="47" customFormat="1" ht="14.25" customHeight="1">
      <c r="A184" s="188"/>
      <c r="B184" s="188"/>
      <c r="C184" s="188"/>
      <c r="D184" s="188"/>
      <c r="E184" s="98"/>
      <c r="F184" s="98"/>
      <c r="G184" s="98"/>
      <c r="H184" s="98"/>
      <c r="I184" s="98">
        <v>30</v>
      </c>
      <c r="J184" s="98"/>
      <c r="K184" s="98"/>
      <c r="L184" s="98"/>
      <c r="M184" s="98"/>
      <c r="N184" s="98"/>
      <c r="O184" s="98">
        <f t="shared" si="24"/>
        <v>15</v>
      </c>
      <c r="P184" s="98"/>
      <c r="Q184" s="98">
        <f t="shared" si="21"/>
        <v>15</v>
      </c>
      <c r="R184" s="98">
        <v>1</v>
      </c>
      <c r="S184" s="98">
        <f t="shared" si="22"/>
        <v>30</v>
      </c>
      <c r="T184" s="98">
        <v>21.98</v>
      </c>
      <c r="U184" s="98">
        <v>20.399999999999999</v>
      </c>
      <c r="V184" s="98">
        <v>21.98</v>
      </c>
      <c r="W184" s="98">
        <v>20.399999999999999</v>
      </c>
      <c r="X184" s="98" t="s">
        <v>169</v>
      </c>
      <c r="Y184" s="98">
        <f t="shared" si="23"/>
        <v>7.0999999999999994E-2</v>
      </c>
      <c r="Z184" s="98">
        <v>0</v>
      </c>
    </row>
    <row r="185" spans="1:26" s="47" customFormat="1" ht="14.25" customHeight="1">
      <c r="A185" s="188"/>
      <c r="B185" s="188"/>
      <c r="C185" s="188"/>
      <c r="D185" s="188"/>
      <c r="E185" s="98"/>
      <c r="F185" s="98"/>
      <c r="G185" s="98"/>
      <c r="H185" s="98"/>
      <c r="I185" s="98">
        <v>14</v>
      </c>
      <c r="J185" s="98"/>
      <c r="K185" s="98"/>
      <c r="L185" s="98"/>
      <c r="M185" s="98"/>
      <c r="N185" s="98"/>
      <c r="O185" s="98">
        <f t="shared" si="24"/>
        <v>16</v>
      </c>
      <c r="P185" s="98"/>
      <c r="Q185" s="98">
        <f t="shared" si="21"/>
        <v>16</v>
      </c>
      <c r="R185" s="98">
        <v>1</v>
      </c>
      <c r="S185" s="98">
        <f t="shared" si="22"/>
        <v>14</v>
      </c>
      <c r="T185" s="98">
        <v>21.98</v>
      </c>
      <c r="U185" s="98">
        <v>20.399999999999999</v>
      </c>
      <c r="V185" s="98">
        <v>21.98</v>
      </c>
      <c r="W185" s="98">
        <v>20.399999999999999</v>
      </c>
      <c r="X185" s="98" t="s">
        <v>181</v>
      </c>
      <c r="Y185" s="98">
        <f t="shared" si="23"/>
        <v>3.4000000000000002E-2</v>
      </c>
      <c r="Z185" s="98">
        <v>0</v>
      </c>
    </row>
    <row r="186" spans="1:26" s="47" customFormat="1" ht="14.25" customHeight="1">
      <c r="A186" s="188"/>
      <c r="B186" s="188"/>
      <c r="C186" s="188"/>
      <c r="D186" s="188"/>
      <c r="E186" s="98"/>
      <c r="F186" s="98"/>
      <c r="G186" s="98"/>
      <c r="H186" s="98"/>
      <c r="I186" s="98"/>
      <c r="J186" s="98">
        <v>14</v>
      </c>
      <c r="K186" s="98"/>
      <c r="L186" s="98"/>
      <c r="M186" s="98"/>
      <c r="N186" s="98"/>
      <c r="O186" s="98">
        <f t="shared" si="24"/>
        <v>17</v>
      </c>
      <c r="P186" s="98"/>
      <c r="Q186" s="98">
        <f t="shared" si="21"/>
        <v>17</v>
      </c>
      <c r="R186" s="98">
        <v>1</v>
      </c>
      <c r="S186" s="98">
        <f t="shared" si="22"/>
        <v>14</v>
      </c>
      <c r="T186" s="98">
        <v>4.04</v>
      </c>
      <c r="U186" s="98">
        <v>3.06</v>
      </c>
      <c r="V186" s="98">
        <v>4.04</v>
      </c>
      <c r="W186" s="98">
        <v>3.06</v>
      </c>
      <c r="X186" s="98" t="s">
        <v>181</v>
      </c>
      <c r="Y186" s="98">
        <f t="shared" si="23"/>
        <v>3.4000000000000002E-2</v>
      </c>
      <c r="Z186" s="98">
        <v>0</v>
      </c>
    </row>
    <row r="187" spans="1:26" s="47" customFormat="1" ht="14.25" customHeight="1">
      <c r="A187" s="188"/>
      <c r="B187" s="188"/>
      <c r="C187" s="188"/>
      <c r="D187" s="188"/>
      <c r="E187" s="98"/>
      <c r="F187" s="98">
        <v>10</v>
      </c>
      <c r="G187" s="98">
        <v>6</v>
      </c>
      <c r="H187" s="98"/>
      <c r="I187" s="98"/>
      <c r="J187" s="98"/>
      <c r="K187" s="98">
        <v>10</v>
      </c>
      <c r="L187" s="98"/>
      <c r="M187" s="98"/>
      <c r="N187" s="98"/>
      <c r="O187" s="98">
        <f t="shared" si="24"/>
        <v>18</v>
      </c>
      <c r="P187" s="98"/>
      <c r="Q187" s="98">
        <f t="shared" si="21"/>
        <v>18</v>
      </c>
      <c r="R187" s="98">
        <v>1</v>
      </c>
      <c r="S187" s="98">
        <f t="shared" si="22"/>
        <v>26</v>
      </c>
      <c r="T187" s="98">
        <v>8.93</v>
      </c>
      <c r="U187" s="98">
        <v>7.95</v>
      </c>
      <c r="V187" s="98">
        <v>8.93</v>
      </c>
      <c r="W187" s="98">
        <v>7.95</v>
      </c>
      <c r="X187" s="98" t="s">
        <v>169</v>
      </c>
      <c r="Y187" s="98">
        <f t="shared" si="23"/>
        <v>7.0999999999999994E-2</v>
      </c>
      <c r="Z187" s="98">
        <v>0</v>
      </c>
    </row>
    <row r="188" spans="1:26" s="47" customFormat="1" ht="14.25" customHeight="1">
      <c r="A188" s="188"/>
      <c r="B188" s="188"/>
      <c r="C188" s="188"/>
      <c r="D188" s="188"/>
      <c r="E188" s="98"/>
      <c r="F188" s="98"/>
      <c r="G188" s="98"/>
      <c r="H188" s="98"/>
      <c r="I188" s="98">
        <v>2</v>
      </c>
      <c r="J188" s="98"/>
      <c r="K188" s="98"/>
      <c r="L188" s="98">
        <v>8</v>
      </c>
      <c r="M188" s="98"/>
      <c r="N188" s="98"/>
      <c r="O188" s="98">
        <f t="shared" si="24"/>
        <v>19</v>
      </c>
      <c r="P188" s="98"/>
      <c r="Q188" s="98">
        <f t="shared" si="21"/>
        <v>19</v>
      </c>
      <c r="R188" s="98">
        <v>1</v>
      </c>
      <c r="S188" s="98">
        <f t="shared" si="22"/>
        <v>10</v>
      </c>
      <c r="T188" s="98">
        <v>6.48</v>
      </c>
      <c r="U188" s="98">
        <v>5.5</v>
      </c>
      <c r="V188" s="98">
        <v>6.48</v>
      </c>
      <c r="W188" s="98">
        <v>5.5</v>
      </c>
      <c r="X188" s="98" t="s">
        <v>181</v>
      </c>
      <c r="Y188" s="98">
        <f t="shared" si="23"/>
        <v>3.4000000000000002E-2</v>
      </c>
      <c r="Z188" s="98">
        <v>0</v>
      </c>
    </row>
    <row r="189" spans="1:26" s="47" customFormat="1" ht="14.25" customHeight="1">
      <c r="A189" s="188"/>
      <c r="B189" s="188"/>
      <c r="C189" s="188"/>
      <c r="D189" s="18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s="47" customFormat="1" ht="14.25" customHeight="1">
      <c r="A190" s="100"/>
      <c r="B190" s="100"/>
      <c r="C190" s="192" t="s">
        <v>61</v>
      </c>
      <c r="D190" s="192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13">
        <f>SUM(R178:R189)</f>
        <v>13</v>
      </c>
      <c r="S190" s="113">
        <f>SUM(S178:S189)</f>
        <v>300</v>
      </c>
      <c r="T190" s="110">
        <v>160.16999999999999</v>
      </c>
      <c r="U190" s="110">
        <v>144.81</v>
      </c>
      <c r="V190" s="110">
        <v>160.16999999999999</v>
      </c>
      <c r="W190" s="110">
        <v>144.81</v>
      </c>
      <c r="X190" s="110"/>
      <c r="Y190" s="110">
        <f>SUM(Y178:Y189)</f>
        <v>0.73799999999999999</v>
      </c>
      <c r="Z190" s="110">
        <v>0</v>
      </c>
    </row>
    <row r="191" spans="1:26" s="47" customFormat="1" ht="14.25" customHeight="1">
      <c r="A191" s="100"/>
      <c r="B191" s="100"/>
      <c r="C191" s="192" t="s">
        <v>170</v>
      </c>
      <c r="D191" s="192"/>
      <c r="E191" s="113">
        <v>28</v>
      </c>
      <c r="F191" s="113">
        <v>54</v>
      </c>
      <c r="G191" s="113">
        <v>80</v>
      </c>
      <c r="H191" s="113">
        <v>60</v>
      </c>
      <c r="I191" s="113">
        <v>46</v>
      </c>
      <c r="J191" s="113">
        <v>14</v>
      </c>
      <c r="K191" s="113">
        <v>10</v>
      </c>
      <c r="L191" s="113">
        <v>8</v>
      </c>
      <c r="M191" s="113"/>
      <c r="N191" s="113"/>
      <c r="O191" s="113">
        <f>SUM(E191:N191)</f>
        <v>300</v>
      </c>
      <c r="P191" s="113"/>
      <c r="Q191" s="113"/>
      <c r="R191" s="110"/>
      <c r="S191" s="110"/>
      <c r="T191" s="110"/>
      <c r="U191" s="110"/>
      <c r="V191" s="100"/>
      <c r="W191" s="110"/>
      <c r="X191" s="110"/>
      <c r="Y191" s="100"/>
      <c r="Z191" s="100"/>
    </row>
    <row r="192" spans="1:26" s="47" customFormat="1" ht="14.25" customHeight="1">
      <c r="A192" s="100"/>
      <c r="B192" s="100"/>
      <c r="C192" s="192" t="s">
        <v>171</v>
      </c>
      <c r="D192" s="192"/>
      <c r="E192" s="113">
        <v>28</v>
      </c>
      <c r="F192" s="113">
        <v>54</v>
      </c>
      <c r="G192" s="113">
        <v>80</v>
      </c>
      <c r="H192" s="113">
        <v>60</v>
      </c>
      <c r="I192" s="113">
        <v>46</v>
      </c>
      <c r="J192" s="113">
        <v>14</v>
      </c>
      <c r="K192" s="113">
        <v>10</v>
      </c>
      <c r="L192" s="113">
        <v>8</v>
      </c>
      <c r="M192" s="113"/>
      <c r="N192" s="113"/>
      <c r="O192" s="113">
        <f>SUM(E192:N192)</f>
        <v>300</v>
      </c>
      <c r="P192" s="113"/>
      <c r="Q192" s="113"/>
      <c r="R192" s="110"/>
      <c r="S192" s="100"/>
      <c r="T192" s="100"/>
      <c r="U192" s="100"/>
      <c r="V192" s="100"/>
      <c r="W192" s="100"/>
      <c r="X192" s="110"/>
      <c r="Y192" s="100"/>
      <c r="Z192" s="100"/>
    </row>
    <row r="193" spans="1:26" s="47" customFormat="1" ht="14.25" customHeight="1">
      <c r="A193" s="100"/>
      <c r="B193" s="100"/>
      <c r="C193" s="192" t="s">
        <v>172</v>
      </c>
      <c r="D193" s="192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spans="1:26" s="47" customFormat="1" ht="14.25" customHeight="1">
      <c r="A194" s="100"/>
      <c r="B194" s="100"/>
      <c r="C194" s="192" t="s">
        <v>173</v>
      </c>
      <c r="D194" s="192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0"/>
      <c r="S194" s="100"/>
      <c r="T194" s="100"/>
      <c r="U194" s="100"/>
      <c r="V194" s="100"/>
      <c r="W194" s="100"/>
      <c r="X194" s="110"/>
      <c r="Y194" s="100"/>
      <c r="Z194" s="100"/>
    </row>
    <row r="195" spans="1:26" s="47" customFormat="1" ht="14.25" customHeight="1"/>
    <row r="196" spans="1:26" s="47" customFormat="1" ht="14.25" customHeight="1">
      <c r="A196" s="186" t="s">
        <v>147</v>
      </c>
      <c r="B196" s="186" t="s">
        <v>148</v>
      </c>
      <c r="C196" s="189" t="s">
        <v>149</v>
      </c>
      <c r="D196" s="92" t="s">
        <v>150</v>
      </c>
      <c r="E196" s="190" t="s">
        <v>151</v>
      </c>
      <c r="F196" s="190"/>
      <c r="G196" s="190"/>
      <c r="H196" s="190"/>
      <c r="I196" s="190"/>
      <c r="J196" s="190"/>
      <c r="K196" s="190"/>
      <c r="L196" s="190"/>
      <c r="M196" s="190"/>
      <c r="N196" s="190"/>
      <c r="O196" s="187" t="s">
        <v>152</v>
      </c>
      <c r="P196" s="94"/>
      <c r="Q196" s="94"/>
      <c r="R196" s="92" t="s">
        <v>153</v>
      </c>
      <c r="S196" s="92" t="s">
        <v>153</v>
      </c>
      <c r="T196" s="92" t="s">
        <v>154</v>
      </c>
      <c r="U196" s="92" t="s">
        <v>155</v>
      </c>
      <c r="V196" s="92" t="s">
        <v>154</v>
      </c>
      <c r="W196" s="92" t="s">
        <v>155</v>
      </c>
      <c r="X196" s="92" t="s">
        <v>156</v>
      </c>
      <c r="Y196" s="186" t="s">
        <v>103</v>
      </c>
      <c r="Z196" s="92" t="s">
        <v>157</v>
      </c>
    </row>
    <row r="197" spans="1:26" s="47" customFormat="1" ht="14.25" customHeight="1">
      <c r="A197" s="186"/>
      <c r="B197" s="186"/>
      <c r="C197" s="189"/>
      <c r="D197" s="95" t="s">
        <v>158</v>
      </c>
      <c r="E197" s="226">
        <v>8</v>
      </c>
      <c r="F197" s="226">
        <v>10</v>
      </c>
      <c r="G197" s="226">
        <v>12</v>
      </c>
      <c r="H197" s="226">
        <v>14</v>
      </c>
      <c r="I197" s="226">
        <v>16</v>
      </c>
      <c r="J197" s="226">
        <v>18</v>
      </c>
      <c r="K197" s="226">
        <v>20</v>
      </c>
      <c r="L197" s="93"/>
      <c r="M197" s="93"/>
      <c r="N197" s="93"/>
      <c r="O197" s="187"/>
      <c r="P197" s="96"/>
      <c r="Q197" s="96"/>
      <c r="R197" s="95" t="s">
        <v>164</v>
      </c>
      <c r="S197" s="95" t="s">
        <v>165</v>
      </c>
      <c r="T197" s="95" t="s">
        <v>156</v>
      </c>
      <c r="U197" s="95" t="s">
        <v>156</v>
      </c>
      <c r="V197" s="95" t="s">
        <v>166</v>
      </c>
      <c r="W197" s="95" t="s">
        <v>166</v>
      </c>
      <c r="X197" s="95" t="s">
        <v>102</v>
      </c>
      <c r="Y197" s="186"/>
      <c r="Z197" s="95" t="s">
        <v>167</v>
      </c>
    </row>
    <row r="198" spans="1:26" s="47" customFormat="1" ht="14.25" customHeight="1">
      <c r="A198" s="188" t="s">
        <v>200</v>
      </c>
      <c r="B198" s="188" t="s">
        <v>201</v>
      </c>
      <c r="C198" s="188" t="s">
        <v>202</v>
      </c>
      <c r="D198" s="188" t="s">
        <v>38</v>
      </c>
      <c r="E198" s="114">
        <v>18</v>
      </c>
      <c r="F198" s="114">
        <v>16</v>
      </c>
      <c r="G198" s="114">
        <v>12</v>
      </c>
      <c r="H198" s="114">
        <v>10</v>
      </c>
      <c r="I198" s="114">
        <v>6</v>
      </c>
      <c r="J198" s="114">
        <v>5</v>
      </c>
      <c r="K198" s="114">
        <v>5</v>
      </c>
      <c r="L198" s="114"/>
      <c r="M198" s="98"/>
      <c r="N198" s="98"/>
      <c r="O198" s="114">
        <f>Q188+1</f>
        <v>20</v>
      </c>
      <c r="P198" s="114"/>
      <c r="Q198" s="114">
        <f>O198+R198-1</f>
        <v>20</v>
      </c>
      <c r="R198" s="114">
        <v>1</v>
      </c>
      <c r="S198" s="114">
        <f>SUM(E198:N198)*R198</f>
        <v>72</v>
      </c>
      <c r="T198" s="114">
        <v>6.38</v>
      </c>
      <c r="U198" s="114">
        <v>5.4</v>
      </c>
      <c r="V198" s="115">
        <v>6.38</v>
      </c>
      <c r="W198" s="115">
        <v>5.4</v>
      </c>
      <c r="X198" s="114" t="s">
        <v>181</v>
      </c>
      <c r="Y198" s="98">
        <f>IF(X198="595X289X390",0.071,IF(X198="597X292X191",0.034,IF(X198="560X600X390",0.132,IF(X198="560X400X390",0.088))))*R198</f>
        <v>3.4000000000000002E-2</v>
      </c>
      <c r="Z198" s="98">
        <v>0</v>
      </c>
    </row>
    <row r="199" spans="1:26" s="47" customFormat="1" ht="14.25" customHeight="1">
      <c r="A199" s="188"/>
      <c r="B199" s="188"/>
      <c r="C199" s="188"/>
      <c r="D199" s="18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s="47" customFormat="1" ht="14.25" customHeight="1">
      <c r="A200" s="100"/>
      <c r="B200" s="100"/>
      <c r="C200" s="185" t="s">
        <v>61</v>
      </c>
      <c r="D200" s="185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2">
        <f t="shared" ref="R200:W200" si="25">SUM(R198:R199)</f>
        <v>1</v>
      </c>
      <c r="S200" s="102">
        <f t="shared" si="25"/>
        <v>72</v>
      </c>
      <c r="T200" s="93">
        <f t="shared" si="25"/>
        <v>6.38</v>
      </c>
      <c r="U200" s="93">
        <f t="shared" si="25"/>
        <v>5.4</v>
      </c>
      <c r="V200" s="93">
        <f t="shared" si="25"/>
        <v>6.38</v>
      </c>
      <c r="W200" s="93">
        <f t="shared" si="25"/>
        <v>5.4</v>
      </c>
      <c r="X200" s="93"/>
      <c r="Y200" s="93">
        <f>SUM(Y198:Y199)</f>
        <v>3.4000000000000002E-2</v>
      </c>
      <c r="Z200" s="93">
        <f>SUM(Z198:Z199)</f>
        <v>0</v>
      </c>
    </row>
    <row r="201" spans="1:26" s="47" customFormat="1" ht="14.25" customHeight="1">
      <c r="A201" s="100"/>
      <c r="B201" s="100"/>
      <c r="C201" s="185" t="s">
        <v>170</v>
      </c>
      <c r="D201" s="185"/>
      <c r="E201" s="102">
        <v>18</v>
      </c>
      <c r="F201" s="102">
        <v>16</v>
      </c>
      <c r="G201" s="102">
        <v>12</v>
      </c>
      <c r="H201" s="102">
        <v>10</v>
      </c>
      <c r="I201" s="102">
        <v>6</v>
      </c>
      <c r="J201" s="102">
        <v>5</v>
      </c>
      <c r="K201" s="102">
        <v>5</v>
      </c>
      <c r="L201" s="102"/>
      <c r="M201" s="102"/>
      <c r="N201" s="102"/>
      <c r="O201" s="102">
        <v>72</v>
      </c>
      <c r="P201" s="102"/>
      <c r="Q201" s="102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spans="1:26" s="47" customFormat="1" ht="14.25" customHeight="1">
      <c r="A202" s="100"/>
      <c r="B202" s="100"/>
      <c r="C202" s="185" t="s">
        <v>171</v>
      </c>
      <c r="D202" s="185"/>
      <c r="E202" s="102">
        <v>18</v>
      </c>
      <c r="F202" s="102">
        <v>16</v>
      </c>
      <c r="G202" s="102">
        <v>12</v>
      </c>
      <c r="H202" s="102">
        <v>10</v>
      </c>
      <c r="I202" s="102">
        <v>6</v>
      </c>
      <c r="J202" s="102">
        <v>5</v>
      </c>
      <c r="K202" s="102">
        <v>5</v>
      </c>
      <c r="L202" s="102"/>
      <c r="M202" s="102"/>
      <c r="N202" s="102"/>
      <c r="O202" s="102">
        <v>72</v>
      </c>
      <c r="P202" s="102"/>
      <c r="Q202" s="102"/>
      <c r="R202" s="93"/>
      <c r="S202" s="100"/>
      <c r="T202" s="100"/>
      <c r="U202" s="100"/>
      <c r="V202" s="100"/>
      <c r="W202" s="100"/>
      <c r="X202" s="100"/>
      <c r="Y202" s="100"/>
      <c r="Z202" s="100"/>
    </row>
    <row r="203" spans="1:26" s="47" customFormat="1" ht="14.25" customHeight="1">
      <c r="A203" s="100"/>
      <c r="B203" s="100"/>
      <c r="C203" s="185" t="s">
        <v>172</v>
      </c>
      <c r="D203" s="185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spans="1:26" s="47" customFormat="1" ht="14.25" customHeight="1">
      <c r="A204" s="100"/>
      <c r="B204" s="100"/>
      <c r="C204" s="185" t="s">
        <v>173</v>
      </c>
      <c r="D204" s="185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3"/>
      <c r="P204" s="103"/>
      <c r="Q204" s="103"/>
      <c r="R204" s="116">
        <f>R170+R190+R200</f>
        <v>20</v>
      </c>
      <c r="S204" s="91">
        <f>S170+S190+S200</f>
        <v>524</v>
      </c>
      <c r="T204" s="91"/>
      <c r="U204" s="91"/>
      <c r="V204" s="91">
        <f>V170+V190+V200</f>
        <v>202.52999999999997</v>
      </c>
      <c r="W204" s="91">
        <f>W170+W190+W200</f>
        <v>178.89000000000001</v>
      </c>
      <c r="X204" s="91"/>
      <c r="Y204" s="91">
        <f>Y170+Y190+Y200</f>
        <v>1.0129999999999999</v>
      </c>
      <c r="Z204" s="91">
        <f>Z170+Z190+Z200</f>
        <v>0</v>
      </c>
    </row>
    <row r="205" spans="1:26" s="47" customFormat="1" ht="14.25" customHeight="1"/>
    <row r="206" spans="1:26" s="47" customFormat="1" ht="14.25" customHeight="1">
      <c r="T206" s="193"/>
      <c r="U206" s="193"/>
      <c r="V206" s="193"/>
      <c r="W206" s="193"/>
    </row>
    <row r="207" spans="1:26" s="47" customFormat="1" ht="14.25" customHeight="1">
      <c r="T207" s="194" t="s">
        <v>125</v>
      </c>
      <c r="U207" s="194"/>
      <c r="V207" s="194"/>
      <c r="W207" s="194"/>
    </row>
    <row r="208" spans="1:26" s="47" customFormat="1" ht="14.25" customHeight="1"/>
    <row r="209" spans="1:26" s="47" customFormat="1" ht="14.25" customHeight="1">
      <c r="A209" s="201"/>
      <c r="B209" s="201"/>
      <c r="C209" s="201"/>
      <c r="D209" s="201"/>
      <c r="E209" s="201"/>
      <c r="F209" s="201"/>
      <c r="G209" s="201"/>
      <c r="H209" s="201"/>
      <c r="I209" s="202" t="s">
        <v>203</v>
      </c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</row>
    <row r="210" spans="1:26" s="47" customFormat="1" ht="14.25" customHeight="1">
      <c r="A210" s="201"/>
      <c r="B210" s="201"/>
      <c r="C210" s="201"/>
      <c r="D210" s="201"/>
      <c r="E210" s="201"/>
      <c r="F210" s="201"/>
      <c r="G210" s="201"/>
      <c r="H210" s="201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</row>
    <row r="211" spans="1:26" s="47" customFormat="1" ht="14.25" customHeight="1">
      <c r="A211" s="201"/>
      <c r="B211" s="201"/>
      <c r="C211" s="201"/>
      <c r="D211" s="201"/>
      <c r="E211" s="201"/>
      <c r="F211" s="201"/>
      <c r="G211" s="201"/>
      <c r="H211" s="201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</row>
    <row r="212" spans="1:26" s="47" customFormat="1" ht="14.25" customHeight="1">
      <c r="A212" s="201"/>
      <c r="B212" s="201"/>
      <c r="C212" s="201"/>
      <c r="D212" s="201"/>
      <c r="E212" s="201"/>
      <c r="F212" s="201"/>
      <c r="G212" s="201"/>
      <c r="H212" s="201"/>
      <c r="I212" s="105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s="47" customFormat="1" ht="14.25" customHeight="1">
      <c r="A213" s="201"/>
      <c r="B213" s="201"/>
      <c r="C213" s="201"/>
      <c r="D213" s="201"/>
      <c r="E213" s="201"/>
      <c r="F213" s="201"/>
      <c r="G213" s="201"/>
      <c r="H213" s="201"/>
      <c r="I213" s="107" t="s">
        <v>204</v>
      </c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s="47" customFormat="1" ht="14.25" customHeight="1">
      <c r="A214" s="198" t="s">
        <v>147</v>
      </c>
      <c r="B214" s="198" t="s">
        <v>148</v>
      </c>
      <c r="C214" s="199" t="s">
        <v>149</v>
      </c>
      <c r="D214" s="109" t="s">
        <v>150</v>
      </c>
      <c r="E214" s="200" t="s">
        <v>151</v>
      </c>
      <c r="F214" s="200"/>
      <c r="G214" s="200"/>
      <c r="H214" s="200"/>
      <c r="I214" s="200"/>
      <c r="J214" s="200"/>
      <c r="K214" s="200"/>
      <c r="L214" s="200"/>
      <c r="M214" s="200"/>
      <c r="N214" s="200"/>
      <c r="O214" s="197" t="s">
        <v>152</v>
      </c>
      <c r="P214" s="197"/>
      <c r="Q214" s="197"/>
      <c r="R214" s="109" t="s">
        <v>153</v>
      </c>
      <c r="S214" s="109" t="s">
        <v>153</v>
      </c>
      <c r="T214" s="109" t="s">
        <v>154</v>
      </c>
      <c r="U214" s="109" t="s">
        <v>155</v>
      </c>
      <c r="V214" s="109" t="s">
        <v>154</v>
      </c>
      <c r="W214" s="109" t="s">
        <v>155</v>
      </c>
      <c r="X214" s="109" t="s">
        <v>156</v>
      </c>
      <c r="Y214" s="198" t="s">
        <v>103</v>
      </c>
      <c r="Z214" s="109" t="s">
        <v>157</v>
      </c>
    </row>
    <row r="215" spans="1:26" s="47" customFormat="1" ht="14.25" customHeight="1">
      <c r="A215" s="198"/>
      <c r="B215" s="198"/>
      <c r="C215" s="199"/>
      <c r="D215" s="111" t="s">
        <v>158</v>
      </c>
      <c r="E215" s="110" t="s">
        <v>159</v>
      </c>
      <c r="F215" s="110" t="s">
        <v>160</v>
      </c>
      <c r="G215" s="110" t="s">
        <v>161</v>
      </c>
      <c r="H215" s="110" t="s">
        <v>162</v>
      </c>
      <c r="I215" s="110" t="s">
        <v>163</v>
      </c>
      <c r="J215" s="110"/>
      <c r="K215" s="110"/>
      <c r="L215" s="110"/>
      <c r="M215" s="110"/>
      <c r="N215" s="110"/>
      <c r="O215" s="197"/>
      <c r="P215" s="197"/>
      <c r="Q215" s="197"/>
      <c r="R215" s="111" t="s">
        <v>164</v>
      </c>
      <c r="S215" s="111" t="s">
        <v>165</v>
      </c>
      <c r="T215" s="111" t="s">
        <v>156</v>
      </c>
      <c r="U215" s="111" t="s">
        <v>156</v>
      </c>
      <c r="V215" s="111" t="s">
        <v>166</v>
      </c>
      <c r="W215" s="111" t="s">
        <v>166</v>
      </c>
      <c r="X215" s="111" t="s">
        <v>102</v>
      </c>
      <c r="Y215" s="198"/>
      <c r="Z215" s="111" t="s">
        <v>167</v>
      </c>
    </row>
    <row r="216" spans="1:26" s="47" customFormat="1" ht="14.25" customHeight="1">
      <c r="A216" s="97" t="s">
        <v>64</v>
      </c>
      <c r="B216" s="97" t="s">
        <v>65</v>
      </c>
      <c r="C216" s="97" t="s">
        <v>205</v>
      </c>
      <c r="D216" s="97" t="s">
        <v>63</v>
      </c>
      <c r="E216" s="98">
        <v>5</v>
      </c>
      <c r="F216" s="98">
        <v>5</v>
      </c>
      <c r="G216" s="98">
        <v>5</v>
      </c>
      <c r="H216" s="98">
        <v>5</v>
      </c>
      <c r="I216" s="98">
        <v>5</v>
      </c>
      <c r="J216" s="98"/>
      <c r="K216" s="98"/>
      <c r="L216" s="98"/>
      <c r="M216" s="98"/>
      <c r="N216" s="98"/>
      <c r="O216" s="98">
        <v>1</v>
      </c>
      <c r="P216" s="98"/>
      <c r="Q216" s="98">
        <f>O216+R216-1</f>
        <v>1</v>
      </c>
      <c r="R216" s="98">
        <v>1</v>
      </c>
      <c r="S216" s="98">
        <f>SUM(E216:N216)*R216</f>
        <v>25</v>
      </c>
      <c r="T216" s="98">
        <f>IF(X216="595X289X390",1.46,IF(X216="597X292X191",0.96,IF(X216="560X600X390",2.04,IF(X216="560X400X390",1.84))))+U216</f>
        <v>11.690000000000001</v>
      </c>
      <c r="U216" s="98">
        <f>+((E216*0.35)+(F216*0.37)+(G216*0.39)+(H216*0.42)+(I216*0.44)+(J216*0.46)+(K216*0.456)+(L216*0.468)+(M216*0.478))</f>
        <v>9.8500000000000014</v>
      </c>
      <c r="V216" s="112">
        <f>T216*R216</f>
        <v>11.690000000000001</v>
      </c>
      <c r="W216" s="112">
        <f>U216*R216</f>
        <v>9.8500000000000014</v>
      </c>
      <c r="X216" s="98" t="s">
        <v>206</v>
      </c>
      <c r="Y216" s="98">
        <f>IF(X216="595X289X390",0.071,IF(X216="597X292X191",0.034,IF(X216="560X600X390",0.132,IF(X216="560X400X390",0.088))))*R216</f>
        <v>8.7999999999999995E-2</v>
      </c>
      <c r="Z216" s="98">
        <v>0</v>
      </c>
    </row>
    <row r="217" spans="1:26" s="47" customFormat="1" ht="14.25" customHeight="1">
      <c r="A217" s="100"/>
      <c r="B217" s="100"/>
      <c r="C217" s="192" t="s">
        <v>61</v>
      </c>
      <c r="D217" s="192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13">
        <f t="shared" ref="R217:W217" si="26">SUM(R216)</f>
        <v>1</v>
      </c>
      <c r="S217" s="113">
        <f t="shared" si="26"/>
        <v>25</v>
      </c>
      <c r="T217" s="110">
        <f t="shared" si="26"/>
        <v>11.690000000000001</v>
      </c>
      <c r="U217" s="110">
        <f t="shared" si="26"/>
        <v>9.8500000000000014</v>
      </c>
      <c r="V217" s="110">
        <f t="shared" si="26"/>
        <v>11.690000000000001</v>
      </c>
      <c r="W217" s="110">
        <f t="shared" si="26"/>
        <v>9.8500000000000014</v>
      </c>
      <c r="X217" s="110"/>
      <c r="Y217" s="110">
        <f>SUM(Y216)</f>
        <v>8.7999999999999995E-2</v>
      </c>
      <c r="Z217" s="110">
        <f>SUM(Z216)</f>
        <v>0</v>
      </c>
    </row>
    <row r="218" spans="1:26" s="47" customFormat="1" ht="14.25" customHeight="1">
      <c r="A218" s="100"/>
      <c r="B218" s="100"/>
      <c r="C218" s="192" t="s">
        <v>170</v>
      </c>
      <c r="D218" s="192"/>
      <c r="E218" s="113">
        <v>5</v>
      </c>
      <c r="F218" s="113">
        <v>5</v>
      </c>
      <c r="G218" s="113">
        <v>5</v>
      </c>
      <c r="H218" s="113">
        <v>5</v>
      </c>
      <c r="I218" s="113">
        <v>5</v>
      </c>
      <c r="J218" s="113"/>
      <c r="K218" s="113"/>
      <c r="L218" s="113"/>
      <c r="M218" s="113"/>
      <c r="N218" s="113"/>
      <c r="O218" s="113">
        <f>SUM(E218:N218)</f>
        <v>25</v>
      </c>
      <c r="P218" s="113"/>
      <c r="Q218" s="113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spans="1:26" s="47" customFormat="1" ht="14.25" customHeight="1">
      <c r="A219" s="100"/>
      <c r="B219" s="100"/>
      <c r="C219" s="192" t="s">
        <v>171</v>
      </c>
      <c r="D219" s="192"/>
      <c r="E219" s="113">
        <v>5</v>
      </c>
      <c r="F219" s="113">
        <v>5</v>
      </c>
      <c r="G219" s="113">
        <v>5</v>
      </c>
      <c r="H219" s="113">
        <v>5</v>
      </c>
      <c r="I219" s="113">
        <v>5</v>
      </c>
      <c r="J219" s="113"/>
      <c r="K219" s="113"/>
      <c r="L219" s="113"/>
      <c r="M219" s="113"/>
      <c r="N219" s="113"/>
      <c r="O219" s="113">
        <f>SUM(E219:N219)</f>
        <v>25</v>
      </c>
      <c r="P219" s="113"/>
      <c r="Q219" s="113"/>
      <c r="R219" s="110"/>
      <c r="S219" s="100"/>
      <c r="T219" s="100"/>
      <c r="U219" s="100"/>
      <c r="V219" s="100"/>
      <c r="W219" s="100"/>
      <c r="X219" s="100"/>
      <c r="Y219" s="100"/>
      <c r="Z219" s="100"/>
    </row>
    <row r="220" spans="1:26" s="47" customFormat="1" ht="14.25" customHeight="1">
      <c r="A220" s="100"/>
      <c r="B220" s="100"/>
      <c r="C220" s="192" t="s">
        <v>172</v>
      </c>
      <c r="D220" s="192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spans="1:26" s="47" customFormat="1" ht="14.25" customHeight="1">
      <c r="A221" s="100"/>
      <c r="B221" s="100"/>
      <c r="C221" s="192" t="s">
        <v>173</v>
      </c>
      <c r="D221" s="192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03"/>
      <c r="P221" s="103"/>
      <c r="Q221" s="103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spans="1:26" s="47" customFormat="1" ht="14.25" customHeight="1"/>
    <row r="223" spans="1:26" s="47" customFormat="1" ht="14.25" customHeight="1">
      <c r="A223" s="198" t="s">
        <v>147</v>
      </c>
      <c r="B223" s="198" t="s">
        <v>148</v>
      </c>
      <c r="C223" s="199" t="s">
        <v>149</v>
      </c>
      <c r="D223" s="109" t="s">
        <v>150</v>
      </c>
      <c r="E223" s="200" t="s">
        <v>151</v>
      </c>
      <c r="F223" s="200"/>
      <c r="G223" s="200"/>
      <c r="H223" s="200"/>
      <c r="I223" s="200"/>
      <c r="J223" s="200"/>
      <c r="K223" s="200"/>
      <c r="L223" s="200"/>
      <c r="M223" s="200"/>
      <c r="N223" s="200"/>
      <c r="O223" s="197" t="s">
        <v>152</v>
      </c>
      <c r="P223" s="197"/>
      <c r="Q223" s="197"/>
      <c r="R223" s="109" t="s">
        <v>153</v>
      </c>
      <c r="S223" s="109" t="s">
        <v>153</v>
      </c>
      <c r="T223" s="109" t="s">
        <v>154</v>
      </c>
      <c r="U223" s="109" t="s">
        <v>155</v>
      </c>
      <c r="V223" s="109" t="s">
        <v>154</v>
      </c>
      <c r="W223" s="109" t="s">
        <v>155</v>
      </c>
      <c r="X223" s="109" t="s">
        <v>156</v>
      </c>
      <c r="Y223" s="198" t="s">
        <v>103</v>
      </c>
      <c r="Z223" s="109" t="s">
        <v>157</v>
      </c>
    </row>
    <row r="224" spans="1:26" s="47" customFormat="1" ht="14.25" customHeight="1">
      <c r="A224" s="198"/>
      <c r="B224" s="198"/>
      <c r="C224" s="199"/>
      <c r="D224" s="111" t="s">
        <v>158</v>
      </c>
      <c r="E224" s="110" t="s">
        <v>174</v>
      </c>
      <c r="F224" s="110" t="s">
        <v>175</v>
      </c>
      <c r="G224" s="110" t="s">
        <v>176</v>
      </c>
      <c r="H224" s="110" t="s">
        <v>177</v>
      </c>
      <c r="I224" s="110" t="s">
        <v>178</v>
      </c>
      <c r="J224" s="110"/>
      <c r="K224" s="110"/>
      <c r="L224" s="110"/>
      <c r="M224" s="110"/>
      <c r="N224" s="110"/>
      <c r="O224" s="197"/>
      <c r="P224" s="197"/>
      <c r="Q224" s="197"/>
      <c r="R224" s="111" t="s">
        <v>164</v>
      </c>
      <c r="S224" s="111" t="s">
        <v>165</v>
      </c>
      <c r="T224" s="111" t="s">
        <v>156</v>
      </c>
      <c r="U224" s="111" t="s">
        <v>156</v>
      </c>
      <c r="V224" s="111" t="s">
        <v>166</v>
      </c>
      <c r="W224" s="111" t="s">
        <v>166</v>
      </c>
      <c r="X224" s="111" t="s">
        <v>102</v>
      </c>
      <c r="Y224" s="198"/>
      <c r="Z224" s="111" t="s">
        <v>167</v>
      </c>
    </row>
    <row r="225" spans="1:26" s="47" customFormat="1" ht="14.25" customHeight="1">
      <c r="A225" s="188" t="s">
        <v>67</v>
      </c>
      <c r="B225" s="188" t="s">
        <v>68</v>
      </c>
      <c r="C225" s="188" t="s">
        <v>207</v>
      </c>
      <c r="D225" s="188" t="s">
        <v>66</v>
      </c>
      <c r="E225" s="98"/>
      <c r="F225" s="98"/>
      <c r="G225" s="98"/>
      <c r="H225" s="98">
        <v>50</v>
      </c>
      <c r="I225" s="98"/>
      <c r="J225" s="98"/>
      <c r="K225" s="98"/>
      <c r="L225" s="98"/>
      <c r="M225" s="98"/>
      <c r="N225" s="98"/>
      <c r="O225" s="98">
        <v>2</v>
      </c>
      <c r="P225" s="98"/>
      <c r="Q225" s="98">
        <v>2</v>
      </c>
      <c r="R225" s="98">
        <v>1</v>
      </c>
      <c r="S225" s="98">
        <f>SUM(C225:L225)*R225</f>
        <v>50</v>
      </c>
      <c r="T225" s="98">
        <v>1.7</v>
      </c>
      <c r="U225" s="98">
        <v>0.72</v>
      </c>
      <c r="V225" s="98">
        <v>1.7</v>
      </c>
      <c r="W225" s="98">
        <v>0.72</v>
      </c>
      <c r="X225" s="98" t="s">
        <v>181</v>
      </c>
      <c r="Y225" s="98">
        <f>IF(X225="595X289X390",0.071,IF(X225="597X292X191",0.034,IF(X225="560X600X390",0.132,IF(X225="560X400X390",0.088))))*R225</f>
        <v>3.4000000000000002E-2</v>
      </c>
      <c r="Z225" s="98">
        <v>0</v>
      </c>
    </row>
    <row r="226" spans="1:26" s="47" customFormat="1" ht="14.25" customHeight="1">
      <c r="A226" s="188"/>
      <c r="B226" s="188"/>
      <c r="C226" s="188"/>
      <c r="D226" s="188"/>
      <c r="E226" s="98"/>
      <c r="F226" s="98"/>
      <c r="G226" s="98"/>
      <c r="H226" s="98"/>
      <c r="I226" s="98">
        <v>50</v>
      </c>
      <c r="J226" s="98"/>
      <c r="K226" s="98"/>
      <c r="L226" s="98"/>
      <c r="M226" s="98"/>
      <c r="N226" s="98"/>
      <c r="O226" s="98">
        <v>3</v>
      </c>
      <c r="P226" s="98"/>
      <c r="Q226" s="98">
        <v>3</v>
      </c>
      <c r="R226" s="98">
        <v>1</v>
      </c>
      <c r="S226" s="98">
        <f>SUM(C226:L226)*R226</f>
        <v>50</v>
      </c>
      <c r="T226" s="98">
        <v>2.08</v>
      </c>
      <c r="U226" s="98">
        <v>1.1000000000000001</v>
      </c>
      <c r="V226" s="98">
        <v>2.08</v>
      </c>
      <c r="W226" s="98">
        <v>1.1000000000000001</v>
      </c>
      <c r="X226" s="98" t="s">
        <v>181</v>
      </c>
      <c r="Y226" s="98">
        <f>IF(X226="595X289X390",0.071,IF(X226="597X292X191",0.034,IF(X226="560X600X390",0.132,IF(X226="560X400X390",0.088))))*R226</f>
        <v>3.4000000000000002E-2</v>
      </c>
      <c r="Z226" s="98">
        <v>0</v>
      </c>
    </row>
    <row r="227" spans="1:26" s="47" customFormat="1" ht="14.25" customHeight="1">
      <c r="A227" s="188"/>
      <c r="B227" s="188"/>
      <c r="C227" s="188"/>
      <c r="D227" s="188"/>
      <c r="E227" s="98">
        <v>8</v>
      </c>
      <c r="F227" s="98">
        <v>11</v>
      </c>
      <c r="G227" s="98">
        <v>39</v>
      </c>
      <c r="H227" s="98">
        <v>9</v>
      </c>
      <c r="I227" s="98">
        <v>4</v>
      </c>
      <c r="J227" s="98"/>
      <c r="K227" s="98"/>
      <c r="L227" s="98"/>
      <c r="M227" s="98"/>
      <c r="N227" s="98"/>
      <c r="O227" s="98">
        <v>4</v>
      </c>
      <c r="P227" s="98"/>
      <c r="Q227" s="98">
        <v>4</v>
      </c>
      <c r="R227" s="98">
        <v>1</v>
      </c>
      <c r="S227" s="98">
        <f>SUM(C227:L227)*R227</f>
        <v>71</v>
      </c>
      <c r="T227" s="98">
        <v>5.27</v>
      </c>
      <c r="U227" s="98">
        <v>4.29</v>
      </c>
      <c r="V227" s="98">
        <v>5.27</v>
      </c>
      <c r="W227" s="98">
        <v>4.29</v>
      </c>
      <c r="X227" s="98" t="s">
        <v>169</v>
      </c>
      <c r="Y227" s="98">
        <f>IF(X227="595X289X390",0.071,IF(X227="597X292X191",0.034,IF(X227="560X600X390",0.132,IF(X227="560X400X390",0.088))))*R227</f>
        <v>7.0999999999999994E-2</v>
      </c>
      <c r="Z227" s="98">
        <v>0</v>
      </c>
    </row>
    <row r="228" spans="1:26" s="47" customFormat="1" ht="14.25" customHeight="1">
      <c r="A228" s="100"/>
      <c r="B228" s="100"/>
      <c r="C228" s="192" t="s">
        <v>61</v>
      </c>
      <c r="D228" s="192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13">
        <f>SUM(R225:R227)</f>
        <v>3</v>
      </c>
      <c r="S228" s="113">
        <f>SUM(S225:S227)</f>
        <v>171</v>
      </c>
      <c r="T228" s="110">
        <v>26.31</v>
      </c>
      <c r="U228" s="110">
        <v>20.21</v>
      </c>
      <c r="V228" s="110">
        <v>26.31</v>
      </c>
      <c r="W228" s="110">
        <v>20.21</v>
      </c>
      <c r="X228" s="110"/>
      <c r="Y228" s="110">
        <f>SUM(Y225:Y227)</f>
        <v>0.13900000000000001</v>
      </c>
      <c r="Z228" s="110">
        <v>0</v>
      </c>
    </row>
    <row r="229" spans="1:26" s="47" customFormat="1" ht="14.25" customHeight="1">
      <c r="A229" s="100"/>
      <c r="B229" s="100"/>
      <c r="C229" s="192" t="s">
        <v>170</v>
      </c>
      <c r="D229" s="192"/>
      <c r="E229" s="113">
        <v>8</v>
      </c>
      <c r="F229" s="113">
        <v>11</v>
      </c>
      <c r="G229" s="113">
        <v>39</v>
      </c>
      <c r="H229" s="113">
        <v>59</v>
      </c>
      <c r="I229" s="113">
        <v>54</v>
      </c>
      <c r="J229" s="113"/>
      <c r="K229" s="113"/>
      <c r="L229" s="113"/>
      <c r="M229" s="113"/>
      <c r="N229" s="113"/>
      <c r="O229" s="113">
        <v>171</v>
      </c>
      <c r="P229" s="113"/>
      <c r="Q229" s="113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spans="1:26" s="47" customFormat="1" ht="14.25" customHeight="1">
      <c r="A230" s="100"/>
      <c r="B230" s="100"/>
      <c r="C230" s="192" t="s">
        <v>171</v>
      </c>
      <c r="D230" s="192"/>
      <c r="E230" s="113">
        <v>8</v>
      </c>
      <c r="F230" s="113">
        <v>11</v>
      </c>
      <c r="G230" s="113">
        <v>39</v>
      </c>
      <c r="H230" s="113">
        <v>59</v>
      </c>
      <c r="I230" s="113">
        <v>54</v>
      </c>
      <c r="J230" s="113"/>
      <c r="K230" s="113"/>
      <c r="L230" s="113"/>
      <c r="M230" s="113"/>
      <c r="N230" s="113"/>
      <c r="O230" s="113">
        <v>171</v>
      </c>
      <c r="P230" s="113"/>
      <c r="Q230" s="113"/>
      <c r="R230" s="110"/>
      <c r="S230" s="100"/>
      <c r="T230" s="100"/>
      <c r="U230" s="100"/>
      <c r="V230" s="100"/>
      <c r="W230" s="100"/>
      <c r="X230" s="100"/>
      <c r="Y230" s="100"/>
      <c r="Z230" s="100"/>
    </row>
    <row r="231" spans="1:26" s="47" customFormat="1" ht="14.25" customHeight="1">
      <c r="A231" s="100"/>
      <c r="B231" s="100"/>
      <c r="C231" s="192" t="s">
        <v>172</v>
      </c>
      <c r="D231" s="192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spans="1:26" s="47" customFormat="1" ht="14.25" customHeight="1">
      <c r="A232" s="100"/>
      <c r="B232" s="100"/>
      <c r="C232" s="192" t="s">
        <v>173</v>
      </c>
      <c r="D232" s="192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03"/>
      <c r="P232" s="103"/>
      <c r="Q232" s="103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spans="1:26" s="47" customFormat="1" ht="14.25" customHeight="1"/>
    <row r="234" spans="1:26" s="47" customFormat="1" ht="14.25" customHeight="1">
      <c r="A234" s="198" t="s">
        <v>147</v>
      </c>
      <c r="B234" s="198" t="s">
        <v>148</v>
      </c>
      <c r="C234" s="199" t="s">
        <v>149</v>
      </c>
      <c r="D234" s="109" t="s">
        <v>150</v>
      </c>
      <c r="E234" s="200" t="s">
        <v>151</v>
      </c>
      <c r="F234" s="200"/>
      <c r="G234" s="200"/>
      <c r="H234" s="200"/>
      <c r="I234" s="200"/>
      <c r="J234" s="200"/>
      <c r="K234" s="200"/>
      <c r="L234" s="200"/>
      <c r="M234" s="200"/>
      <c r="N234" s="200"/>
      <c r="O234" s="197" t="s">
        <v>152</v>
      </c>
      <c r="P234" s="197"/>
      <c r="Q234" s="197"/>
      <c r="R234" s="109" t="s">
        <v>153</v>
      </c>
      <c r="S234" s="109" t="s">
        <v>153</v>
      </c>
      <c r="T234" s="109" t="s">
        <v>154</v>
      </c>
      <c r="U234" s="109" t="s">
        <v>155</v>
      </c>
      <c r="V234" s="109" t="s">
        <v>154</v>
      </c>
      <c r="W234" s="109" t="s">
        <v>155</v>
      </c>
      <c r="X234" s="109" t="s">
        <v>156</v>
      </c>
      <c r="Y234" s="198" t="s">
        <v>103</v>
      </c>
      <c r="Z234" s="109" t="s">
        <v>157</v>
      </c>
    </row>
    <row r="235" spans="1:26" s="47" customFormat="1" ht="14.25" customHeight="1">
      <c r="A235" s="198"/>
      <c r="B235" s="198"/>
      <c r="C235" s="199"/>
      <c r="D235" s="111" t="s">
        <v>158</v>
      </c>
      <c r="E235" s="110" t="s">
        <v>174</v>
      </c>
      <c r="F235" s="110" t="s">
        <v>175</v>
      </c>
      <c r="G235" s="110" t="s">
        <v>176</v>
      </c>
      <c r="H235" s="110" t="s">
        <v>177</v>
      </c>
      <c r="I235" s="110" t="s">
        <v>178</v>
      </c>
      <c r="J235" s="110"/>
      <c r="K235" s="110"/>
      <c r="L235" s="110"/>
      <c r="M235" s="110"/>
      <c r="N235" s="110"/>
      <c r="O235" s="197"/>
      <c r="P235" s="197"/>
      <c r="Q235" s="197"/>
      <c r="R235" s="111" t="s">
        <v>164</v>
      </c>
      <c r="S235" s="111" t="s">
        <v>165</v>
      </c>
      <c r="T235" s="111" t="s">
        <v>156</v>
      </c>
      <c r="U235" s="111" t="s">
        <v>156</v>
      </c>
      <c r="V235" s="111" t="s">
        <v>166</v>
      </c>
      <c r="W235" s="111" t="s">
        <v>166</v>
      </c>
      <c r="X235" s="111" t="s">
        <v>102</v>
      </c>
      <c r="Y235" s="198"/>
      <c r="Z235" s="111" t="s">
        <v>167</v>
      </c>
    </row>
    <row r="236" spans="1:26" s="47" customFormat="1" ht="14.25" customHeight="1">
      <c r="A236" s="188" t="s">
        <v>42</v>
      </c>
      <c r="B236" s="188" t="s">
        <v>43</v>
      </c>
      <c r="C236" s="188" t="s">
        <v>208</v>
      </c>
      <c r="D236" s="188" t="s">
        <v>41</v>
      </c>
      <c r="E236" s="98"/>
      <c r="F236" s="98"/>
      <c r="G236" s="98"/>
      <c r="H236" s="98">
        <v>51</v>
      </c>
      <c r="I236" s="98"/>
      <c r="J236" s="98"/>
      <c r="K236" s="98"/>
      <c r="L236" s="98"/>
      <c r="M236" s="98"/>
      <c r="N236" s="98"/>
      <c r="O236" s="98">
        <v>5</v>
      </c>
      <c r="P236" s="98"/>
      <c r="Q236" s="98">
        <v>5</v>
      </c>
      <c r="R236" s="98">
        <v>1</v>
      </c>
      <c r="S236" s="98">
        <f>SUM(C236:L236)*R236</f>
        <v>51</v>
      </c>
      <c r="T236" s="98">
        <v>2.2799999999999998</v>
      </c>
      <c r="U236" s="98">
        <v>1.3</v>
      </c>
      <c r="V236" s="98">
        <v>2.2799999999999998</v>
      </c>
      <c r="W236" s="98">
        <v>1.3</v>
      </c>
      <c r="X236" s="98" t="s">
        <v>181</v>
      </c>
      <c r="Y236" s="98">
        <f>IF(X236="595X289X390",0.071,IF(X236="597X292X191",0.034,IF(X236="560X600X390",0.132,IF(X236="560X400X390",0.088))))*R236</f>
        <v>3.4000000000000002E-2</v>
      </c>
      <c r="Z236" s="98">
        <v>0</v>
      </c>
    </row>
    <row r="237" spans="1:26" s="47" customFormat="1" ht="14.25" customHeight="1">
      <c r="A237" s="188"/>
      <c r="B237" s="188"/>
      <c r="C237" s="188"/>
      <c r="D237" s="188"/>
      <c r="E237" s="98">
        <v>5</v>
      </c>
      <c r="F237" s="98">
        <v>8</v>
      </c>
      <c r="G237" s="98">
        <v>31</v>
      </c>
      <c r="H237" s="98"/>
      <c r="I237" s="98">
        <v>46</v>
      </c>
      <c r="J237" s="98"/>
      <c r="K237" s="98"/>
      <c r="L237" s="98"/>
      <c r="M237" s="98"/>
      <c r="N237" s="98"/>
      <c r="O237" s="98">
        <v>6</v>
      </c>
      <c r="P237" s="98"/>
      <c r="Q237" s="98">
        <v>6</v>
      </c>
      <c r="R237" s="98">
        <v>1</v>
      </c>
      <c r="S237" s="98">
        <f>SUM(C237:L237)*R237</f>
        <v>90</v>
      </c>
      <c r="T237" s="98">
        <v>3.22</v>
      </c>
      <c r="U237" s="98">
        <v>2.2400000000000002</v>
      </c>
      <c r="V237" s="98">
        <v>3.22</v>
      </c>
      <c r="W237" s="98">
        <v>2.2400000000000002</v>
      </c>
      <c r="X237" s="98" t="s">
        <v>169</v>
      </c>
      <c r="Y237" s="98">
        <f>IF(X237="595X289X390",0.071,IF(X237="597X292X191",0.034,IF(X237="560X600X390",0.132,IF(X237="560X400X390",0.088))))*R237</f>
        <v>7.0999999999999994E-2</v>
      </c>
      <c r="Z237" s="98">
        <v>0</v>
      </c>
    </row>
    <row r="238" spans="1:26" s="47" customFormat="1" ht="14.25" customHeight="1">
      <c r="A238" s="100"/>
      <c r="B238" s="100"/>
      <c r="C238" s="192" t="s">
        <v>61</v>
      </c>
      <c r="D238" s="192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13">
        <f>SUM(R236:R237)</f>
        <v>2</v>
      </c>
      <c r="S238" s="113">
        <f>SUM(S236:S237)</f>
        <v>141</v>
      </c>
      <c r="T238" s="110">
        <v>50.3</v>
      </c>
      <c r="U238" s="110">
        <v>44.8</v>
      </c>
      <c r="V238" s="110">
        <v>50.3</v>
      </c>
      <c r="W238" s="110">
        <v>44.8</v>
      </c>
      <c r="X238" s="110"/>
      <c r="Y238" s="110">
        <f>SUM(Y236:Y237)</f>
        <v>0.105</v>
      </c>
      <c r="Z238" s="110">
        <v>0</v>
      </c>
    </row>
    <row r="239" spans="1:26" s="47" customFormat="1" ht="14.25" customHeight="1">
      <c r="A239" s="100"/>
      <c r="B239" s="100"/>
      <c r="C239" s="192" t="s">
        <v>170</v>
      </c>
      <c r="D239" s="192"/>
      <c r="E239" s="113">
        <v>5</v>
      </c>
      <c r="F239" s="113">
        <v>8</v>
      </c>
      <c r="G239" s="113">
        <v>31</v>
      </c>
      <c r="H239" s="113">
        <v>51</v>
      </c>
      <c r="I239" s="113">
        <v>46</v>
      </c>
      <c r="J239" s="113"/>
      <c r="K239" s="113"/>
      <c r="L239" s="113"/>
      <c r="M239" s="113"/>
      <c r="N239" s="113"/>
      <c r="O239" s="113">
        <v>141</v>
      </c>
      <c r="P239" s="113"/>
      <c r="Q239" s="113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spans="1:26" s="47" customFormat="1" ht="14.25" customHeight="1">
      <c r="A240" s="100"/>
      <c r="B240" s="100"/>
      <c r="C240" s="192" t="s">
        <v>171</v>
      </c>
      <c r="D240" s="192"/>
      <c r="E240" s="113">
        <v>5</v>
      </c>
      <c r="F240" s="113">
        <v>8</v>
      </c>
      <c r="G240" s="113">
        <v>31</v>
      </c>
      <c r="H240" s="113">
        <v>51</v>
      </c>
      <c r="I240" s="113">
        <v>46</v>
      </c>
      <c r="J240" s="113"/>
      <c r="K240" s="113"/>
      <c r="L240" s="113"/>
      <c r="M240" s="113"/>
      <c r="N240" s="113"/>
      <c r="O240" s="113">
        <v>141</v>
      </c>
      <c r="P240" s="113"/>
      <c r="Q240" s="113"/>
      <c r="R240" s="110"/>
      <c r="S240" s="100"/>
      <c r="T240" s="100"/>
      <c r="U240" s="100"/>
      <c r="V240" s="100"/>
      <c r="W240" s="100"/>
      <c r="X240" s="100"/>
      <c r="Y240" s="100"/>
      <c r="Z240" s="100"/>
    </row>
    <row r="241" spans="1:26" s="47" customFormat="1" ht="14.25" customHeight="1">
      <c r="A241" s="100"/>
      <c r="B241" s="100"/>
      <c r="C241" s="192" t="s">
        <v>172</v>
      </c>
      <c r="D241" s="192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spans="1:26" s="47" customFormat="1" ht="14.25" customHeight="1">
      <c r="A242" s="100"/>
      <c r="B242" s="100"/>
      <c r="C242" s="192" t="s">
        <v>173</v>
      </c>
      <c r="D242" s="192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03"/>
      <c r="P242" s="103"/>
      <c r="Q242" s="103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spans="1:26" s="47" customFormat="1" ht="14.25" customHeight="1"/>
    <row r="244" spans="1:26" s="47" customFormat="1" ht="14.25" customHeight="1">
      <c r="A244" s="198" t="s">
        <v>147</v>
      </c>
      <c r="B244" s="198" t="s">
        <v>148</v>
      </c>
      <c r="C244" s="199" t="s">
        <v>149</v>
      </c>
      <c r="D244" s="109" t="s">
        <v>150</v>
      </c>
      <c r="E244" s="200" t="s">
        <v>151</v>
      </c>
      <c r="F244" s="200"/>
      <c r="G244" s="200"/>
      <c r="H244" s="200"/>
      <c r="I244" s="200"/>
      <c r="J244" s="200"/>
      <c r="K244" s="200"/>
      <c r="L244" s="200"/>
      <c r="M244" s="200"/>
      <c r="N244" s="200"/>
      <c r="O244" s="197" t="s">
        <v>152</v>
      </c>
      <c r="P244" s="197"/>
      <c r="Q244" s="197"/>
      <c r="R244" s="109" t="s">
        <v>153</v>
      </c>
      <c r="S244" s="109" t="s">
        <v>153</v>
      </c>
      <c r="T244" s="109" t="s">
        <v>154</v>
      </c>
      <c r="U244" s="109" t="s">
        <v>155</v>
      </c>
      <c r="V244" s="109" t="s">
        <v>154</v>
      </c>
      <c r="W244" s="109" t="s">
        <v>155</v>
      </c>
      <c r="X244" s="109" t="s">
        <v>156</v>
      </c>
      <c r="Y244" s="198" t="s">
        <v>103</v>
      </c>
      <c r="Z244" s="109" t="s">
        <v>157</v>
      </c>
    </row>
    <row r="245" spans="1:26" s="47" customFormat="1" ht="14.25" customHeight="1">
      <c r="A245" s="198"/>
      <c r="B245" s="198"/>
      <c r="C245" s="199"/>
      <c r="D245" s="111" t="s">
        <v>158</v>
      </c>
      <c r="E245" s="110" t="s">
        <v>174</v>
      </c>
      <c r="F245" s="110" t="s">
        <v>175</v>
      </c>
      <c r="G245" s="110" t="s">
        <v>176</v>
      </c>
      <c r="H245" s="110" t="s">
        <v>177</v>
      </c>
      <c r="I245" s="110" t="s">
        <v>178</v>
      </c>
      <c r="J245" s="110"/>
      <c r="K245" s="110"/>
      <c r="L245" s="110"/>
      <c r="M245" s="110"/>
      <c r="N245" s="110"/>
      <c r="O245" s="197"/>
      <c r="P245" s="197"/>
      <c r="Q245" s="197"/>
      <c r="R245" s="111" t="s">
        <v>164</v>
      </c>
      <c r="S245" s="111" t="s">
        <v>165</v>
      </c>
      <c r="T245" s="111" t="s">
        <v>156</v>
      </c>
      <c r="U245" s="111" t="s">
        <v>156</v>
      </c>
      <c r="V245" s="111" t="s">
        <v>166</v>
      </c>
      <c r="W245" s="111" t="s">
        <v>166</v>
      </c>
      <c r="X245" s="111" t="s">
        <v>102</v>
      </c>
      <c r="Y245" s="198"/>
      <c r="Z245" s="111" t="s">
        <v>167</v>
      </c>
    </row>
    <row r="246" spans="1:26" s="47" customFormat="1" ht="14.25" customHeight="1">
      <c r="A246" s="188" t="s">
        <v>45</v>
      </c>
      <c r="B246" s="188" t="s">
        <v>46</v>
      </c>
      <c r="C246" s="188" t="s">
        <v>209</v>
      </c>
      <c r="D246" s="188" t="s">
        <v>44</v>
      </c>
      <c r="E246" s="98"/>
      <c r="F246" s="98"/>
      <c r="G246" s="98">
        <v>20</v>
      </c>
      <c r="H246" s="98"/>
      <c r="I246" s="98"/>
      <c r="J246" s="98"/>
      <c r="K246" s="98"/>
      <c r="L246" s="98"/>
      <c r="M246" s="98"/>
      <c r="N246" s="98"/>
      <c r="O246" s="98">
        <v>7</v>
      </c>
      <c r="P246" s="98"/>
      <c r="Q246" s="98">
        <v>7</v>
      </c>
      <c r="R246" s="98">
        <v>1</v>
      </c>
      <c r="S246" s="98">
        <f>SUM(C246:L246)*R246</f>
        <v>20</v>
      </c>
      <c r="T246" s="98">
        <v>1.96</v>
      </c>
      <c r="U246" s="98">
        <v>0.98</v>
      </c>
      <c r="V246" s="98">
        <v>1.96</v>
      </c>
      <c r="W246" s="98">
        <v>0.98</v>
      </c>
      <c r="X246" s="98" t="s">
        <v>181</v>
      </c>
      <c r="Y246" s="98">
        <f>IF(X246="595X289X390",0.071,IF(X246="597X292X191",0.034,IF(X246="560X600X390",0.132,IF(X246="560X400X390",0.088))))*R246</f>
        <v>3.4000000000000002E-2</v>
      </c>
      <c r="Z246" s="98">
        <v>0</v>
      </c>
    </row>
    <row r="247" spans="1:26" s="47" customFormat="1" ht="14.25" customHeight="1">
      <c r="A247" s="188"/>
      <c r="B247" s="188"/>
      <c r="C247" s="188"/>
      <c r="D247" s="188"/>
      <c r="E247" s="98"/>
      <c r="F247" s="98"/>
      <c r="G247" s="98"/>
      <c r="H247" s="98">
        <v>38</v>
      </c>
      <c r="I247" s="98"/>
      <c r="J247" s="98"/>
      <c r="K247" s="98"/>
      <c r="L247" s="98"/>
      <c r="M247" s="98"/>
      <c r="N247" s="98"/>
      <c r="O247" s="98">
        <v>8</v>
      </c>
      <c r="P247" s="98"/>
      <c r="Q247" s="98">
        <v>8</v>
      </c>
      <c r="R247" s="98">
        <v>1</v>
      </c>
      <c r="S247" s="98">
        <f>SUM(C247:L247)*R247</f>
        <v>38</v>
      </c>
      <c r="T247" s="98">
        <v>2.74</v>
      </c>
      <c r="U247" s="98">
        <v>1.76</v>
      </c>
      <c r="V247" s="98">
        <v>2.74</v>
      </c>
      <c r="W247" s="98">
        <v>1.76</v>
      </c>
      <c r="X247" s="98" t="s">
        <v>169</v>
      </c>
      <c r="Y247" s="98">
        <f>IF(X247="595X289X390",0.071,IF(X247="597X292X191",0.034,IF(X247="560X600X390",0.132,IF(X247="560X400X390",0.088))))*R247</f>
        <v>7.0999999999999994E-2</v>
      </c>
      <c r="Z247" s="98">
        <v>0</v>
      </c>
    </row>
    <row r="248" spans="1:26" s="47" customFormat="1" ht="14.25" customHeight="1">
      <c r="A248" s="188"/>
      <c r="B248" s="188"/>
      <c r="C248" s="188"/>
      <c r="D248" s="188"/>
      <c r="E248" s="98"/>
      <c r="F248" s="98"/>
      <c r="G248" s="98"/>
      <c r="H248" s="98"/>
      <c r="I248" s="98">
        <v>41</v>
      </c>
      <c r="J248" s="98"/>
      <c r="K248" s="98"/>
      <c r="L248" s="98"/>
      <c r="M248" s="98"/>
      <c r="N248" s="98"/>
      <c r="O248" s="98">
        <v>9</v>
      </c>
      <c r="P248" s="98"/>
      <c r="Q248" s="98">
        <v>9</v>
      </c>
      <c r="R248" s="98">
        <v>1</v>
      </c>
      <c r="S248" s="98">
        <f>SUM(C248:L248)*R248</f>
        <v>41</v>
      </c>
      <c r="T248" s="98">
        <v>6.8</v>
      </c>
      <c r="U248" s="98">
        <v>5.22</v>
      </c>
      <c r="V248" s="98">
        <v>6.8</v>
      </c>
      <c r="W248" s="98">
        <v>5.22</v>
      </c>
      <c r="X248" s="98" t="s">
        <v>169</v>
      </c>
      <c r="Y248" s="98">
        <f>IF(X248="595X289X390",0.071,IF(X248="597X292X191",0.034,IF(X248="560X600X390",0.132,IF(X248="560X400X390",0.088))))*R248</f>
        <v>7.0999999999999994E-2</v>
      </c>
      <c r="Z248" s="98">
        <v>0</v>
      </c>
    </row>
    <row r="249" spans="1:26" s="47" customFormat="1" ht="14.25" customHeight="1">
      <c r="A249" s="188"/>
      <c r="B249" s="188"/>
      <c r="C249" s="188"/>
      <c r="D249" s="188"/>
      <c r="E249" s="98">
        <v>7</v>
      </c>
      <c r="F249" s="98">
        <v>11</v>
      </c>
      <c r="G249" s="98">
        <v>9</v>
      </c>
      <c r="H249" s="98"/>
      <c r="I249" s="98"/>
      <c r="J249" s="98"/>
      <c r="K249" s="98"/>
      <c r="L249" s="98"/>
      <c r="M249" s="98"/>
      <c r="N249" s="98"/>
      <c r="O249" s="98">
        <v>10</v>
      </c>
      <c r="P249" s="98"/>
      <c r="Q249" s="98">
        <v>10</v>
      </c>
      <c r="R249" s="98">
        <v>1</v>
      </c>
      <c r="S249" s="98">
        <f>SUM(C249:L249)*R249</f>
        <v>27</v>
      </c>
      <c r="T249" s="98">
        <v>9.18</v>
      </c>
      <c r="U249" s="98">
        <v>7.6</v>
      </c>
      <c r="V249" s="98">
        <v>9.18</v>
      </c>
      <c r="W249" s="98">
        <v>7.6</v>
      </c>
      <c r="X249" s="98" t="s">
        <v>169</v>
      </c>
      <c r="Y249" s="98">
        <f>IF(X249="595X289X390",0.071,IF(X249="597X292X191",0.034,IF(X249="560X600X390",0.132,IF(X249="560X400X390",0.088))))*R249</f>
        <v>7.0999999999999994E-2</v>
      </c>
      <c r="Z249" s="98">
        <v>0</v>
      </c>
    </row>
    <row r="250" spans="1:26" s="47" customFormat="1" ht="14.25" customHeight="1">
      <c r="A250" s="100"/>
      <c r="B250" s="100"/>
      <c r="C250" s="192" t="s">
        <v>61</v>
      </c>
      <c r="D250" s="192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13">
        <f>SUM(R246:R249)</f>
        <v>4</v>
      </c>
      <c r="S250" s="113">
        <f>SUM(S246:S249)</f>
        <v>126</v>
      </c>
      <c r="T250" s="110">
        <v>31.28</v>
      </c>
      <c r="U250" s="110">
        <v>24.58</v>
      </c>
      <c r="V250" s="110">
        <v>31.28</v>
      </c>
      <c r="W250" s="110">
        <v>24.58</v>
      </c>
      <c r="X250" s="110"/>
      <c r="Y250" s="110">
        <f>SUM(Y246:Y249)</f>
        <v>0.247</v>
      </c>
      <c r="Z250" s="110">
        <v>0</v>
      </c>
    </row>
    <row r="251" spans="1:26" s="47" customFormat="1" ht="14.25" customHeight="1">
      <c r="A251" s="100"/>
      <c r="B251" s="100"/>
      <c r="C251" s="192" t="s">
        <v>170</v>
      </c>
      <c r="D251" s="192"/>
      <c r="E251" s="113">
        <v>7</v>
      </c>
      <c r="F251" s="113">
        <v>11</v>
      </c>
      <c r="G251" s="113">
        <v>29</v>
      </c>
      <c r="H251" s="113">
        <v>38</v>
      </c>
      <c r="I251" s="113">
        <v>41</v>
      </c>
      <c r="J251" s="113"/>
      <c r="K251" s="113"/>
      <c r="L251" s="113"/>
      <c r="M251" s="113"/>
      <c r="N251" s="113"/>
      <c r="O251" s="113">
        <v>126</v>
      </c>
      <c r="P251" s="113"/>
      <c r="Q251" s="113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spans="1:26" s="47" customFormat="1" ht="14.25" customHeight="1">
      <c r="A252" s="100"/>
      <c r="B252" s="100"/>
      <c r="C252" s="192" t="s">
        <v>171</v>
      </c>
      <c r="D252" s="192"/>
      <c r="E252" s="113">
        <v>7</v>
      </c>
      <c r="F252" s="113">
        <v>11</v>
      </c>
      <c r="G252" s="113">
        <v>29</v>
      </c>
      <c r="H252" s="113">
        <v>38</v>
      </c>
      <c r="I252" s="113">
        <v>41</v>
      </c>
      <c r="J252" s="113"/>
      <c r="K252" s="113"/>
      <c r="L252" s="113"/>
      <c r="M252" s="113"/>
      <c r="N252" s="113"/>
      <c r="O252" s="113">
        <v>126</v>
      </c>
      <c r="P252" s="113"/>
      <c r="Q252" s="113"/>
      <c r="R252" s="110"/>
      <c r="S252" s="100"/>
      <c r="T252" s="100"/>
      <c r="U252" s="100"/>
      <c r="V252" s="100"/>
      <c r="W252" s="100"/>
      <c r="X252" s="100"/>
      <c r="Y252" s="100"/>
      <c r="Z252" s="100"/>
    </row>
    <row r="253" spans="1:26" s="47" customFormat="1" ht="14.25" customHeight="1">
      <c r="A253" s="100"/>
      <c r="B253" s="100"/>
      <c r="C253" s="192" t="s">
        <v>172</v>
      </c>
      <c r="D253" s="192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spans="1:26" s="47" customFormat="1" ht="14.25" customHeight="1">
      <c r="A254" s="100"/>
      <c r="B254" s="100"/>
      <c r="C254" s="192" t="s">
        <v>173</v>
      </c>
      <c r="D254" s="192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03"/>
      <c r="P254" s="103"/>
      <c r="Q254" s="103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spans="1:26" s="47" customFormat="1" ht="14.25" customHeight="1"/>
    <row r="256" spans="1:26" s="47" customFormat="1" ht="14.25" customHeight="1">
      <c r="A256" s="198" t="s">
        <v>147</v>
      </c>
      <c r="B256" s="198" t="s">
        <v>148</v>
      </c>
      <c r="C256" s="199" t="s">
        <v>149</v>
      </c>
      <c r="D256" s="109" t="s">
        <v>150</v>
      </c>
      <c r="E256" s="200" t="s">
        <v>151</v>
      </c>
      <c r="F256" s="200"/>
      <c r="G256" s="200"/>
      <c r="H256" s="200"/>
      <c r="I256" s="200"/>
      <c r="J256" s="200"/>
      <c r="K256" s="200"/>
      <c r="L256" s="200"/>
      <c r="M256" s="200"/>
      <c r="N256" s="200"/>
      <c r="O256" s="197" t="s">
        <v>152</v>
      </c>
      <c r="P256" s="197"/>
      <c r="Q256" s="197"/>
      <c r="R256" s="109" t="s">
        <v>153</v>
      </c>
      <c r="S256" s="109" t="s">
        <v>153</v>
      </c>
      <c r="T256" s="109" t="s">
        <v>154</v>
      </c>
      <c r="U256" s="109" t="s">
        <v>155</v>
      </c>
      <c r="V256" s="109" t="s">
        <v>154</v>
      </c>
      <c r="W256" s="109" t="s">
        <v>155</v>
      </c>
      <c r="X256" s="109" t="s">
        <v>156</v>
      </c>
      <c r="Y256" s="198" t="s">
        <v>103</v>
      </c>
      <c r="Z256" s="109" t="s">
        <v>157</v>
      </c>
    </row>
    <row r="257" spans="1:26" s="47" customFormat="1" ht="14.25" customHeight="1">
      <c r="A257" s="198"/>
      <c r="B257" s="198"/>
      <c r="C257" s="199"/>
      <c r="D257" s="111" t="s">
        <v>158</v>
      </c>
      <c r="E257" s="110" t="s">
        <v>174</v>
      </c>
      <c r="F257" s="110" t="s">
        <v>175</v>
      </c>
      <c r="G257" s="110" t="s">
        <v>176</v>
      </c>
      <c r="H257" s="110" t="s">
        <v>177</v>
      </c>
      <c r="I257" s="110" t="s">
        <v>178</v>
      </c>
      <c r="J257" s="110"/>
      <c r="K257" s="110"/>
      <c r="L257" s="110"/>
      <c r="M257" s="110"/>
      <c r="N257" s="110"/>
      <c r="O257" s="197"/>
      <c r="P257" s="197"/>
      <c r="Q257" s="197"/>
      <c r="R257" s="111" t="s">
        <v>164</v>
      </c>
      <c r="S257" s="111" t="s">
        <v>165</v>
      </c>
      <c r="T257" s="111" t="s">
        <v>156</v>
      </c>
      <c r="U257" s="111" t="s">
        <v>156</v>
      </c>
      <c r="V257" s="111" t="s">
        <v>166</v>
      </c>
      <c r="W257" s="111" t="s">
        <v>166</v>
      </c>
      <c r="X257" s="111" t="s">
        <v>102</v>
      </c>
      <c r="Y257" s="198"/>
      <c r="Z257" s="111" t="s">
        <v>167</v>
      </c>
    </row>
    <row r="258" spans="1:26" s="47" customFormat="1" ht="14.25" customHeight="1">
      <c r="A258" s="188" t="s">
        <v>48</v>
      </c>
      <c r="B258" s="188" t="s">
        <v>49</v>
      </c>
      <c r="C258" s="188" t="s">
        <v>210</v>
      </c>
      <c r="D258" s="188" t="s">
        <v>47</v>
      </c>
      <c r="E258" s="98"/>
      <c r="F258" s="98"/>
      <c r="G258" s="98">
        <v>20</v>
      </c>
      <c r="H258" s="98"/>
      <c r="I258" s="98"/>
      <c r="J258" s="98"/>
      <c r="K258" s="98"/>
      <c r="L258" s="98"/>
      <c r="M258" s="98"/>
      <c r="N258" s="98"/>
      <c r="O258" s="98">
        <v>11</v>
      </c>
      <c r="P258" s="98"/>
      <c r="Q258" s="98">
        <v>11</v>
      </c>
      <c r="R258" s="98">
        <v>1</v>
      </c>
      <c r="S258" s="98">
        <f>SUM(C258:L258)*R258</f>
        <v>20</v>
      </c>
      <c r="T258" s="98">
        <v>2.8</v>
      </c>
      <c r="U258" s="98">
        <v>1.82</v>
      </c>
      <c r="V258" s="98">
        <v>2.8</v>
      </c>
      <c r="W258" s="98">
        <v>1.82</v>
      </c>
      <c r="X258" s="98" t="s">
        <v>181</v>
      </c>
      <c r="Y258" s="98">
        <f>IF(X258="595X289X390",0.071,IF(X258="597X292X191",0.034,IF(X258="560X600X390",0.132,IF(X258="560X400X390",0.088))))*R258</f>
        <v>3.4000000000000002E-2</v>
      </c>
      <c r="Z258" s="98">
        <v>0</v>
      </c>
    </row>
    <row r="259" spans="1:26" s="47" customFormat="1" ht="14.25" customHeight="1">
      <c r="A259" s="188"/>
      <c r="B259" s="188"/>
      <c r="C259" s="188"/>
      <c r="D259" s="188"/>
      <c r="E259" s="98"/>
      <c r="F259" s="98"/>
      <c r="G259" s="98"/>
      <c r="H259" s="98">
        <v>36</v>
      </c>
      <c r="I259" s="98"/>
      <c r="J259" s="98"/>
      <c r="K259" s="98"/>
      <c r="L259" s="98"/>
      <c r="M259" s="98"/>
      <c r="N259" s="98"/>
      <c r="O259" s="98">
        <v>12</v>
      </c>
      <c r="P259" s="98"/>
      <c r="Q259" s="98">
        <v>12</v>
      </c>
      <c r="R259" s="98">
        <v>1</v>
      </c>
      <c r="S259" s="98">
        <f>SUM(C259:L259)*R259</f>
        <v>36</v>
      </c>
      <c r="T259" s="98">
        <v>4.0599999999999996</v>
      </c>
      <c r="U259" s="98">
        <v>3.08</v>
      </c>
      <c r="V259" s="98">
        <v>4.0599999999999996</v>
      </c>
      <c r="W259" s="98">
        <v>3.08</v>
      </c>
      <c r="X259" s="98" t="s">
        <v>169</v>
      </c>
      <c r="Y259" s="98">
        <f>IF(X259="595X289X390",0.071,IF(X259="597X292X191",0.034,IF(X259="560X600X390",0.132,IF(X259="560X400X390",0.088))))*R259</f>
        <v>7.0999999999999994E-2</v>
      </c>
      <c r="Z259" s="98">
        <v>0</v>
      </c>
    </row>
    <row r="260" spans="1:26" s="47" customFormat="1" ht="14.25" customHeight="1">
      <c r="A260" s="188"/>
      <c r="B260" s="188"/>
      <c r="C260" s="188"/>
      <c r="D260" s="188"/>
      <c r="E260" s="98"/>
      <c r="F260" s="98"/>
      <c r="G260" s="98"/>
      <c r="H260" s="98"/>
      <c r="I260" s="98">
        <v>38</v>
      </c>
      <c r="J260" s="98"/>
      <c r="K260" s="98"/>
      <c r="L260" s="98"/>
      <c r="M260" s="98"/>
      <c r="N260" s="98"/>
      <c r="O260" s="98">
        <v>13</v>
      </c>
      <c r="P260" s="98"/>
      <c r="Q260" s="98">
        <v>13</v>
      </c>
      <c r="R260" s="98">
        <v>1</v>
      </c>
      <c r="S260" s="98">
        <f>SUM(C260:L260)*R260</f>
        <v>38</v>
      </c>
      <c r="T260" s="98">
        <v>9.08</v>
      </c>
      <c r="U260" s="98">
        <v>8.1</v>
      </c>
      <c r="V260" s="98">
        <v>9.08</v>
      </c>
      <c r="W260" s="98">
        <v>8.1</v>
      </c>
      <c r="X260" s="98" t="s">
        <v>169</v>
      </c>
      <c r="Y260" s="98">
        <f>IF(X260="595X289X390",0.071,IF(X260="597X292X191",0.034,IF(X260="560X600X390",0.132,IF(X260="560X400X390",0.088))))*R260</f>
        <v>7.0999999999999994E-2</v>
      </c>
      <c r="Z260" s="98">
        <v>0</v>
      </c>
    </row>
    <row r="261" spans="1:26" s="47" customFormat="1" ht="14.25" customHeight="1">
      <c r="A261" s="188"/>
      <c r="B261" s="188"/>
      <c r="C261" s="188"/>
      <c r="D261" s="188"/>
      <c r="E261" s="98">
        <v>7</v>
      </c>
      <c r="F261" s="98">
        <v>11</v>
      </c>
      <c r="G261" s="98">
        <v>7</v>
      </c>
      <c r="H261" s="98"/>
      <c r="I261" s="98"/>
      <c r="J261" s="98"/>
      <c r="K261" s="98"/>
      <c r="L261" s="98"/>
      <c r="M261" s="98"/>
      <c r="N261" s="98"/>
      <c r="O261" s="98">
        <v>14</v>
      </c>
      <c r="P261" s="98"/>
      <c r="Q261" s="98">
        <v>14</v>
      </c>
      <c r="R261" s="98">
        <v>1</v>
      </c>
      <c r="S261" s="98">
        <f>SUM(C261:L261)*R261</f>
        <v>25</v>
      </c>
      <c r="T261" s="98">
        <v>12.5</v>
      </c>
      <c r="U261" s="98">
        <v>11.52</v>
      </c>
      <c r="V261" s="98">
        <v>12.5</v>
      </c>
      <c r="W261" s="98">
        <v>11.52</v>
      </c>
      <c r="X261" s="98" t="s">
        <v>181</v>
      </c>
      <c r="Y261" s="98">
        <f>IF(X261="595X289X390",0.071,IF(X261="597X292X191",0.034,IF(X261="560X600X390",0.132,IF(X261="560X400X390",0.088))))*R261</f>
        <v>3.4000000000000002E-2</v>
      </c>
      <c r="Z261" s="98">
        <v>0</v>
      </c>
    </row>
    <row r="262" spans="1:26" s="47" customFormat="1" ht="14.25" customHeight="1">
      <c r="A262" s="100"/>
      <c r="B262" s="100"/>
      <c r="C262" s="192" t="s">
        <v>61</v>
      </c>
      <c r="D262" s="192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13">
        <f>SUM(R258:R261)</f>
        <v>4</v>
      </c>
      <c r="S262" s="113">
        <f>SUM(S258:S261)</f>
        <v>119</v>
      </c>
      <c r="T262" s="110">
        <v>42.34</v>
      </c>
      <c r="U262" s="110">
        <v>37.44</v>
      </c>
      <c r="V262" s="110">
        <v>42.34</v>
      </c>
      <c r="W262" s="110">
        <v>37.44</v>
      </c>
      <c r="X262" s="110"/>
      <c r="Y262" s="110">
        <f>SUM(Y258:Y261)</f>
        <v>0.21</v>
      </c>
      <c r="Z262" s="110">
        <v>0</v>
      </c>
    </row>
    <row r="263" spans="1:26" s="47" customFormat="1" ht="14.25" customHeight="1">
      <c r="A263" s="100"/>
      <c r="B263" s="100"/>
      <c r="C263" s="192" t="s">
        <v>170</v>
      </c>
      <c r="D263" s="192"/>
      <c r="E263" s="113">
        <v>7</v>
      </c>
      <c r="F263" s="113">
        <v>11</v>
      </c>
      <c r="G263" s="113">
        <v>27</v>
      </c>
      <c r="H263" s="113">
        <v>36</v>
      </c>
      <c r="I263" s="113">
        <v>38</v>
      </c>
      <c r="J263" s="113"/>
      <c r="K263" s="113"/>
      <c r="L263" s="113"/>
      <c r="M263" s="113"/>
      <c r="N263" s="113"/>
      <c r="O263" s="113">
        <v>119</v>
      </c>
      <c r="P263" s="113"/>
      <c r="Q263" s="113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spans="1:26" s="47" customFormat="1" ht="14.25" customHeight="1">
      <c r="A264" s="100"/>
      <c r="B264" s="100"/>
      <c r="C264" s="192" t="s">
        <v>171</v>
      </c>
      <c r="D264" s="192"/>
      <c r="E264" s="113">
        <v>7</v>
      </c>
      <c r="F264" s="113">
        <v>11</v>
      </c>
      <c r="G264" s="113">
        <v>27</v>
      </c>
      <c r="H264" s="113">
        <v>36</v>
      </c>
      <c r="I264" s="113">
        <v>38</v>
      </c>
      <c r="J264" s="113"/>
      <c r="K264" s="113"/>
      <c r="L264" s="113"/>
      <c r="M264" s="113"/>
      <c r="N264" s="113"/>
      <c r="O264" s="113">
        <v>119</v>
      </c>
      <c r="P264" s="113"/>
      <c r="Q264" s="113"/>
      <c r="R264" s="110"/>
      <c r="S264" s="100"/>
      <c r="T264" s="100"/>
      <c r="U264" s="100"/>
      <c r="V264" s="100"/>
      <c r="W264" s="100"/>
      <c r="X264" s="100"/>
      <c r="Y264" s="100"/>
      <c r="Z264" s="100"/>
    </row>
    <row r="265" spans="1:26" s="47" customFormat="1" ht="14.25" customHeight="1">
      <c r="A265" s="100"/>
      <c r="B265" s="100"/>
      <c r="C265" s="192" t="s">
        <v>172</v>
      </c>
      <c r="D265" s="192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spans="1:26" s="47" customFormat="1" ht="14.25" customHeight="1">
      <c r="A266" s="100"/>
      <c r="B266" s="100"/>
      <c r="C266" s="192" t="s">
        <v>173</v>
      </c>
      <c r="D266" s="192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03"/>
      <c r="P266" s="103"/>
      <c r="Q266" s="103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spans="1:26" s="47" customFormat="1" ht="14.25" customHeight="1"/>
    <row r="268" spans="1:26" s="47" customFormat="1" ht="14.25" customHeight="1">
      <c r="A268" s="198" t="s">
        <v>147</v>
      </c>
      <c r="B268" s="198" t="s">
        <v>148</v>
      </c>
      <c r="C268" s="199" t="s">
        <v>149</v>
      </c>
      <c r="D268" s="109" t="s">
        <v>150</v>
      </c>
      <c r="E268" s="200" t="s">
        <v>151</v>
      </c>
      <c r="F268" s="200"/>
      <c r="G268" s="200"/>
      <c r="H268" s="200"/>
      <c r="I268" s="200"/>
      <c r="J268" s="200"/>
      <c r="K268" s="200"/>
      <c r="L268" s="200"/>
      <c r="M268" s="200"/>
      <c r="N268" s="200"/>
      <c r="O268" s="197" t="s">
        <v>152</v>
      </c>
      <c r="P268" s="197"/>
      <c r="Q268" s="197"/>
      <c r="R268" s="109" t="s">
        <v>153</v>
      </c>
      <c r="S268" s="109" t="s">
        <v>153</v>
      </c>
      <c r="T268" s="109" t="s">
        <v>154</v>
      </c>
      <c r="U268" s="109" t="s">
        <v>155</v>
      </c>
      <c r="V268" s="109" t="s">
        <v>154</v>
      </c>
      <c r="W268" s="109" t="s">
        <v>155</v>
      </c>
      <c r="X268" s="109" t="s">
        <v>156</v>
      </c>
      <c r="Y268" s="198" t="s">
        <v>103</v>
      </c>
      <c r="Z268" s="109" t="s">
        <v>157</v>
      </c>
    </row>
    <row r="269" spans="1:26" s="47" customFormat="1" ht="14.25" customHeight="1">
      <c r="A269" s="198"/>
      <c r="B269" s="198"/>
      <c r="C269" s="199"/>
      <c r="D269" s="111" t="s">
        <v>158</v>
      </c>
      <c r="E269" s="110" t="s">
        <v>211</v>
      </c>
      <c r="F269" s="110" t="s">
        <v>183</v>
      </c>
      <c r="G269" s="110" t="s">
        <v>184</v>
      </c>
      <c r="H269" s="110" t="s">
        <v>185</v>
      </c>
      <c r="I269" s="110" t="s">
        <v>186</v>
      </c>
      <c r="J269" s="110" t="s">
        <v>212</v>
      </c>
      <c r="K269" s="110" t="s">
        <v>188</v>
      </c>
      <c r="L269" s="110"/>
      <c r="M269" s="110"/>
      <c r="N269" s="110"/>
      <c r="O269" s="197"/>
      <c r="P269" s="197"/>
      <c r="Q269" s="197"/>
      <c r="R269" s="111" t="s">
        <v>164</v>
      </c>
      <c r="S269" s="111" t="s">
        <v>165</v>
      </c>
      <c r="T269" s="111" t="s">
        <v>156</v>
      </c>
      <c r="U269" s="111" t="s">
        <v>156</v>
      </c>
      <c r="V269" s="111" t="s">
        <v>166</v>
      </c>
      <c r="W269" s="111" t="s">
        <v>166</v>
      </c>
      <c r="X269" s="111" t="s">
        <v>102</v>
      </c>
      <c r="Y269" s="198"/>
      <c r="Z269" s="111" t="s">
        <v>167</v>
      </c>
    </row>
    <row r="270" spans="1:26" s="47" customFormat="1" ht="14.25" customHeight="1">
      <c r="A270" s="188" t="s">
        <v>51</v>
      </c>
      <c r="B270" s="188" t="s">
        <v>43</v>
      </c>
      <c r="C270" s="188" t="s">
        <v>213</v>
      </c>
      <c r="D270" s="188" t="s">
        <v>50</v>
      </c>
      <c r="E270" s="98"/>
      <c r="F270" s="98">
        <v>26</v>
      </c>
      <c r="G270" s="98"/>
      <c r="H270" s="98"/>
      <c r="I270" s="98"/>
      <c r="J270" s="98"/>
      <c r="K270" s="98"/>
      <c r="L270" s="98"/>
      <c r="M270" s="98"/>
      <c r="N270" s="98"/>
      <c r="O270" s="98">
        <v>15</v>
      </c>
      <c r="P270" s="98"/>
      <c r="Q270" s="98">
        <v>15</v>
      </c>
      <c r="R270" s="98">
        <v>1</v>
      </c>
      <c r="S270" s="98">
        <f>SUM(C270:L270)*R270</f>
        <v>26</v>
      </c>
      <c r="T270" s="98">
        <v>2.68</v>
      </c>
      <c r="U270" s="98">
        <v>1.7</v>
      </c>
      <c r="V270" s="98">
        <v>2.68</v>
      </c>
      <c r="W270" s="98">
        <v>1.7</v>
      </c>
      <c r="X270" s="98" t="s">
        <v>181</v>
      </c>
      <c r="Y270" s="98">
        <f>IF(X270="595X289X390",0.071,IF(X270="597X292X191",0.034,IF(X270="560X600X390",0.132,IF(X270="560X400X390",0.088))))*R270</f>
        <v>3.4000000000000002E-2</v>
      </c>
      <c r="Z270" s="98">
        <v>0</v>
      </c>
    </row>
    <row r="271" spans="1:26" s="47" customFormat="1" ht="14.25" customHeight="1">
      <c r="A271" s="188"/>
      <c r="B271" s="188"/>
      <c r="C271" s="188"/>
      <c r="D271" s="188"/>
      <c r="E271" s="98"/>
      <c r="F271" s="98"/>
      <c r="G271" s="98">
        <v>30</v>
      </c>
      <c r="H271" s="98"/>
      <c r="I271" s="98"/>
      <c r="J271" s="98"/>
      <c r="K271" s="98"/>
      <c r="L271" s="98"/>
      <c r="M271" s="98"/>
      <c r="N271" s="98"/>
      <c r="O271" s="98">
        <v>16</v>
      </c>
      <c r="P271" s="98"/>
      <c r="Q271" s="98">
        <v>16</v>
      </c>
      <c r="R271" s="98">
        <v>1</v>
      </c>
      <c r="S271" s="98">
        <f>SUM(C271:L271)*R271</f>
        <v>30</v>
      </c>
      <c r="T271" s="98">
        <v>10.34</v>
      </c>
      <c r="U271" s="98">
        <v>9.36</v>
      </c>
      <c r="V271" s="98">
        <v>10.34</v>
      </c>
      <c r="W271" s="98">
        <v>9.36</v>
      </c>
      <c r="X271" s="98" t="s">
        <v>181</v>
      </c>
      <c r="Y271" s="98">
        <f>IF(X271="595X289X390",0.071,IF(X271="597X292X191",0.034,IF(X271="560X600X390",0.132,IF(X271="560X400X390",0.088))))*R271</f>
        <v>3.4000000000000002E-2</v>
      </c>
      <c r="Z271" s="98">
        <v>0</v>
      </c>
    </row>
    <row r="272" spans="1:26" s="47" customFormat="1" ht="14.25" customHeight="1">
      <c r="A272" s="188"/>
      <c r="B272" s="188"/>
      <c r="C272" s="188"/>
      <c r="D272" s="188"/>
      <c r="E272" s="98"/>
      <c r="F272" s="98"/>
      <c r="G272" s="98"/>
      <c r="H272" s="98">
        <v>30</v>
      </c>
      <c r="I272" s="98"/>
      <c r="J272" s="98"/>
      <c r="K272" s="98"/>
      <c r="L272" s="98"/>
      <c r="M272" s="98"/>
      <c r="N272" s="98"/>
      <c r="O272" s="98">
        <v>17</v>
      </c>
      <c r="P272" s="98"/>
      <c r="Q272" s="98">
        <v>17</v>
      </c>
      <c r="R272" s="98">
        <v>1</v>
      </c>
      <c r="S272" s="98">
        <f>SUM(C272:L272)*R272</f>
        <v>30</v>
      </c>
      <c r="T272" s="98">
        <v>20.96</v>
      </c>
      <c r="U272" s="98">
        <v>19.38</v>
      </c>
      <c r="V272" s="98">
        <v>20.96</v>
      </c>
      <c r="W272" s="98">
        <v>19.38</v>
      </c>
      <c r="X272" s="98" t="s">
        <v>181</v>
      </c>
      <c r="Y272" s="98">
        <f>IF(X272="595X289X390",0.071,IF(X272="597X292X191",0.034,IF(X272="560X600X390",0.132,IF(X272="560X400X390",0.088))))*R272</f>
        <v>3.4000000000000002E-2</v>
      </c>
      <c r="Z272" s="98">
        <v>0</v>
      </c>
    </row>
    <row r="273" spans="1:26" s="47" customFormat="1" ht="14.25" customHeight="1">
      <c r="A273" s="188"/>
      <c r="B273" s="188"/>
      <c r="C273" s="188"/>
      <c r="D273" s="188"/>
      <c r="E273" s="98"/>
      <c r="F273" s="98"/>
      <c r="G273" s="98"/>
      <c r="H273" s="98"/>
      <c r="I273" s="98">
        <v>24</v>
      </c>
      <c r="J273" s="98"/>
      <c r="K273" s="98"/>
      <c r="L273" s="98"/>
      <c r="M273" s="98"/>
      <c r="N273" s="98"/>
      <c r="O273" s="98">
        <v>18</v>
      </c>
      <c r="P273" s="98"/>
      <c r="Q273" s="98">
        <v>18</v>
      </c>
      <c r="R273" s="98">
        <v>1</v>
      </c>
      <c r="S273" s="98">
        <f>SUM(C273:L273)*R273</f>
        <v>24</v>
      </c>
      <c r="T273" s="98">
        <v>19.98</v>
      </c>
      <c r="U273" s="98">
        <v>18.399999999999999</v>
      </c>
      <c r="V273" s="98">
        <v>19.98</v>
      </c>
      <c r="W273" s="98">
        <v>18.399999999999999</v>
      </c>
      <c r="X273" s="98" t="s">
        <v>181</v>
      </c>
      <c r="Y273" s="98">
        <f>IF(X273="595X289X390",0.071,IF(X273="597X292X191",0.034,IF(X273="560X600X390",0.132,IF(X273="560X400X390",0.088))))*R273</f>
        <v>3.4000000000000002E-2</v>
      </c>
      <c r="Z273" s="98">
        <v>0</v>
      </c>
    </row>
    <row r="274" spans="1:26" s="47" customFormat="1" ht="14.25" customHeight="1">
      <c r="A274" s="188"/>
      <c r="B274" s="188"/>
      <c r="C274" s="188"/>
      <c r="D274" s="188"/>
      <c r="E274" s="98">
        <v>5</v>
      </c>
      <c r="F274" s="98"/>
      <c r="G274" s="98">
        <v>21</v>
      </c>
      <c r="H274" s="98">
        <v>16</v>
      </c>
      <c r="I274" s="98"/>
      <c r="J274" s="98">
        <v>5</v>
      </c>
      <c r="K274" s="98">
        <v>5</v>
      </c>
      <c r="L274" s="98"/>
      <c r="M274" s="98"/>
      <c r="N274" s="98"/>
      <c r="O274" s="98">
        <v>19</v>
      </c>
      <c r="P274" s="98"/>
      <c r="Q274" s="98">
        <v>19</v>
      </c>
      <c r="R274" s="98">
        <v>1</v>
      </c>
      <c r="S274" s="98">
        <f>SUM(C274:L274)*R274</f>
        <v>52</v>
      </c>
      <c r="T274" s="98">
        <v>11.06</v>
      </c>
      <c r="U274" s="98">
        <v>10.08</v>
      </c>
      <c r="V274" s="98">
        <v>11.06</v>
      </c>
      <c r="W274" s="98">
        <v>10.08</v>
      </c>
      <c r="X274" s="98" t="s">
        <v>169</v>
      </c>
      <c r="Y274" s="98">
        <f>IF(X274="595X289X390",0.071,IF(X274="597X292X191",0.034,IF(X274="560X600X390",0.132,IF(X274="560X400X390",0.088))))*R274</f>
        <v>7.0999999999999994E-2</v>
      </c>
      <c r="Z274" s="98">
        <v>0</v>
      </c>
    </row>
    <row r="275" spans="1:26" s="47" customFormat="1" ht="14.25" customHeight="1">
      <c r="A275" s="100"/>
      <c r="B275" s="100"/>
      <c r="C275" s="192" t="s">
        <v>61</v>
      </c>
      <c r="D275" s="192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13">
        <f>SUM(R270:R274)</f>
        <v>5</v>
      </c>
      <c r="S275" s="113">
        <f>SUM(S270:S274)</f>
        <v>162</v>
      </c>
      <c r="T275" s="110">
        <v>68.760000000000005</v>
      </c>
      <c r="U275" s="110">
        <v>60.7</v>
      </c>
      <c r="V275" s="110">
        <v>68.760000000000005</v>
      </c>
      <c r="W275" s="110">
        <v>60.7</v>
      </c>
      <c r="X275" s="110"/>
      <c r="Y275" s="110">
        <f>SUM(Y270:Y274)</f>
        <v>0.20700000000000002</v>
      </c>
      <c r="Z275" s="110">
        <v>0</v>
      </c>
    </row>
    <row r="276" spans="1:26" s="47" customFormat="1" ht="14.25" customHeight="1">
      <c r="A276" s="100"/>
      <c r="B276" s="100"/>
      <c r="C276" s="192" t="s">
        <v>170</v>
      </c>
      <c r="D276" s="192"/>
      <c r="E276" s="113">
        <v>5</v>
      </c>
      <c r="F276" s="113">
        <v>26</v>
      </c>
      <c r="G276" s="113">
        <v>51</v>
      </c>
      <c r="H276" s="113">
        <v>46</v>
      </c>
      <c r="I276" s="113">
        <v>24</v>
      </c>
      <c r="J276" s="113">
        <v>5</v>
      </c>
      <c r="K276" s="113">
        <v>5</v>
      </c>
      <c r="L276" s="113"/>
      <c r="M276" s="113"/>
      <c r="N276" s="113"/>
      <c r="O276" s="113">
        <v>162</v>
      </c>
      <c r="P276" s="113"/>
      <c r="Q276" s="113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spans="1:26" s="47" customFormat="1" ht="14.25" customHeight="1">
      <c r="A277" s="100"/>
      <c r="B277" s="100"/>
      <c r="C277" s="192" t="s">
        <v>171</v>
      </c>
      <c r="D277" s="192"/>
      <c r="E277" s="113">
        <v>5</v>
      </c>
      <c r="F277" s="113">
        <v>26</v>
      </c>
      <c r="G277" s="113">
        <v>51</v>
      </c>
      <c r="H277" s="113">
        <v>46</v>
      </c>
      <c r="I277" s="113">
        <v>24</v>
      </c>
      <c r="J277" s="113">
        <v>5</v>
      </c>
      <c r="K277" s="113">
        <v>5</v>
      </c>
      <c r="L277" s="113"/>
      <c r="M277" s="113"/>
      <c r="N277" s="113"/>
      <c r="O277" s="113">
        <v>162</v>
      </c>
      <c r="P277" s="113"/>
      <c r="Q277" s="113"/>
      <c r="R277" s="110"/>
      <c r="S277" s="100"/>
      <c r="T277" s="100"/>
      <c r="U277" s="100"/>
      <c r="V277" s="100"/>
      <c r="W277" s="100"/>
      <c r="X277" s="100"/>
      <c r="Y277" s="100"/>
      <c r="Z277" s="100"/>
    </row>
    <row r="278" spans="1:26" s="47" customFormat="1" ht="14.25" customHeight="1">
      <c r="A278" s="100"/>
      <c r="B278" s="100"/>
      <c r="C278" s="192" t="s">
        <v>172</v>
      </c>
      <c r="D278" s="192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spans="1:26" s="47" customFormat="1" ht="14.25" customHeight="1">
      <c r="A279" s="100"/>
      <c r="B279" s="100"/>
      <c r="C279" s="192" t="s">
        <v>173</v>
      </c>
      <c r="D279" s="192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03"/>
      <c r="P279" s="103"/>
      <c r="Q279" s="103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spans="1:26" s="47" customFormat="1" ht="14.25" customHeight="1"/>
    <row r="281" spans="1:26" s="47" customFormat="1" ht="14.25" customHeight="1">
      <c r="A281" s="198" t="s">
        <v>147</v>
      </c>
      <c r="B281" s="198" t="s">
        <v>148</v>
      </c>
      <c r="C281" s="199" t="s">
        <v>149</v>
      </c>
      <c r="D281" s="109" t="s">
        <v>150</v>
      </c>
      <c r="E281" s="200" t="s">
        <v>151</v>
      </c>
      <c r="F281" s="200"/>
      <c r="G281" s="200"/>
      <c r="H281" s="200"/>
      <c r="I281" s="200"/>
      <c r="J281" s="200"/>
      <c r="K281" s="200"/>
      <c r="L281" s="200"/>
      <c r="M281" s="200"/>
      <c r="N281" s="200"/>
      <c r="O281" s="197" t="s">
        <v>152</v>
      </c>
      <c r="P281" s="197"/>
      <c r="Q281" s="197"/>
      <c r="R281" s="109" t="s">
        <v>153</v>
      </c>
      <c r="S281" s="109" t="s">
        <v>153</v>
      </c>
      <c r="T281" s="109" t="s">
        <v>154</v>
      </c>
      <c r="U281" s="109" t="s">
        <v>155</v>
      </c>
      <c r="V281" s="109" t="s">
        <v>154</v>
      </c>
      <c r="W281" s="109" t="s">
        <v>155</v>
      </c>
      <c r="X281" s="109" t="s">
        <v>156</v>
      </c>
      <c r="Y281" s="198" t="s">
        <v>103</v>
      </c>
      <c r="Z281" s="109" t="s">
        <v>157</v>
      </c>
    </row>
    <row r="282" spans="1:26" s="47" customFormat="1" ht="14.25" customHeight="1">
      <c r="A282" s="198"/>
      <c r="B282" s="198"/>
      <c r="C282" s="199"/>
      <c r="D282" s="111" t="s">
        <v>158</v>
      </c>
      <c r="E282" s="110" t="s">
        <v>211</v>
      </c>
      <c r="F282" s="110" t="s">
        <v>183</v>
      </c>
      <c r="G282" s="110" t="s">
        <v>184</v>
      </c>
      <c r="H282" s="110" t="s">
        <v>185</v>
      </c>
      <c r="I282" s="110" t="s">
        <v>186</v>
      </c>
      <c r="J282" s="110" t="s">
        <v>212</v>
      </c>
      <c r="K282" s="110" t="s">
        <v>188</v>
      </c>
      <c r="L282" s="110"/>
      <c r="M282" s="110"/>
      <c r="N282" s="110"/>
      <c r="O282" s="197"/>
      <c r="P282" s="197"/>
      <c r="Q282" s="197"/>
      <c r="R282" s="111" t="s">
        <v>164</v>
      </c>
      <c r="S282" s="111" t="s">
        <v>165</v>
      </c>
      <c r="T282" s="111" t="s">
        <v>156</v>
      </c>
      <c r="U282" s="111" t="s">
        <v>156</v>
      </c>
      <c r="V282" s="111" t="s">
        <v>166</v>
      </c>
      <c r="W282" s="111" t="s">
        <v>166</v>
      </c>
      <c r="X282" s="111" t="s">
        <v>102</v>
      </c>
      <c r="Y282" s="198"/>
      <c r="Z282" s="111" t="s">
        <v>167</v>
      </c>
    </row>
    <row r="283" spans="1:26" s="47" customFormat="1" ht="14.25" customHeight="1">
      <c r="A283" s="188" t="s">
        <v>53</v>
      </c>
      <c r="B283" s="188" t="s">
        <v>46</v>
      </c>
      <c r="C283" s="188" t="s">
        <v>214</v>
      </c>
      <c r="D283" s="188" t="s">
        <v>52</v>
      </c>
      <c r="E283" s="98"/>
      <c r="F283" s="98">
        <v>28</v>
      </c>
      <c r="G283" s="98"/>
      <c r="H283" s="98"/>
      <c r="I283" s="98"/>
      <c r="J283" s="98"/>
      <c r="K283" s="98"/>
      <c r="L283" s="98"/>
      <c r="M283" s="98"/>
      <c r="N283" s="98"/>
      <c r="O283" s="98">
        <v>20</v>
      </c>
      <c r="P283" s="98"/>
      <c r="Q283" s="98">
        <v>20</v>
      </c>
      <c r="R283" s="98">
        <v>1</v>
      </c>
      <c r="S283" s="98">
        <f>SUM(C283:L283)*R283</f>
        <v>28</v>
      </c>
      <c r="T283" s="98">
        <v>3.03</v>
      </c>
      <c r="U283" s="98">
        <v>2.0499999999999998</v>
      </c>
      <c r="V283" s="98">
        <v>3.03</v>
      </c>
      <c r="W283" s="98">
        <v>2.0499999999999998</v>
      </c>
      <c r="X283" s="98" t="s">
        <v>169</v>
      </c>
      <c r="Y283" s="98">
        <f>IF(X283="595X289X390",0.071,IF(X283="597X292X191",0.034,IF(X283="560X600X390",0.132,IF(X283="560X400X390",0.088))))*R283</f>
        <v>7.0999999999999994E-2</v>
      </c>
      <c r="Z283" s="98">
        <v>0</v>
      </c>
    </row>
    <row r="284" spans="1:26" s="47" customFormat="1" ht="14.25" customHeight="1">
      <c r="A284" s="188"/>
      <c r="B284" s="188"/>
      <c r="C284" s="188"/>
      <c r="D284" s="188"/>
      <c r="E284" s="98"/>
      <c r="F284" s="98"/>
      <c r="G284" s="98">
        <v>30</v>
      </c>
      <c r="H284" s="98"/>
      <c r="I284" s="98"/>
      <c r="J284" s="98"/>
      <c r="K284" s="98"/>
      <c r="L284" s="98"/>
      <c r="M284" s="98"/>
      <c r="N284" s="98"/>
      <c r="O284" s="98">
        <v>21</v>
      </c>
      <c r="P284" s="98"/>
      <c r="Q284" s="98">
        <v>21</v>
      </c>
      <c r="R284" s="98">
        <v>1</v>
      </c>
      <c r="S284" s="98">
        <f>SUM(C284:L284)*R284</f>
        <v>30</v>
      </c>
      <c r="T284" s="98">
        <v>13.62</v>
      </c>
      <c r="U284" s="98">
        <v>12.04</v>
      </c>
      <c r="V284" s="98">
        <v>13.62</v>
      </c>
      <c r="W284" s="98">
        <v>12.04</v>
      </c>
      <c r="X284" s="98" t="s">
        <v>169</v>
      </c>
      <c r="Y284" s="98">
        <f>IF(X284="595X289X390",0.071,IF(X284="597X292X191",0.034,IF(X284="560X600X390",0.132,IF(X284="560X400X390",0.088))))*R284</f>
        <v>7.0999999999999994E-2</v>
      </c>
      <c r="Z284" s="98">
        <v>0</v>
      </c>
    </row>
    <row r="285" spans="1:26" s="47" customFormat="1" ht="14.25" customHeight="1">
      <c r="A285" s="188"/>
      <c r="B285" s="188"/>
      <c r="C285" s="188"/>
      <c r="D285" s="188"/>
      <c r="E285" s="98"/>
      <c r="F285" s="98"/>
      <c r="G285" s="98"/>
      <c r="H285" s="98">
        <v>31</v>
      </c>
      <c r="I285" s="98"/>
      <c r="J285" s="98"/>
      <c r="K285" s="98"/>
      <c r="L285" s="98"/>
      <c r="M285" s="98"/>
      <c r="N285" s="98"/>
      <c r="O285" s="98">
        <v>22</v>
      </c>
      <c r="P285" s="98"/>
      <c r="Q285" s="98">
        <v>22</v>
      </c>
      <c r="R285" s="98">
        <v>1</v>
      </c>
      <c r="S285" s="98">
        <f>SUM(C285:L285)*R285</f>
        <v>31</v>
      </c>
      <c r="T285" s="98">
        <v>19.579999999999998</v>
      </c>
      <c r="U285" s="98">
        <v>18</v>
      </c>
      <c r="V285" s="98">
        <v>19.579999999999998</v>
      </c>
      <c r="W285" s="98">
        <v>18</v>
      </c>
      <c r="X285" s="98" t="s">
        <v>169</v>
      </c>
      <c r="Y285" s="98">
        <f>IF(X285="595X289X390",0.071,IF(X285="597X292X191",0.034,IF(X285="560X600X390",0.132,IF(X285="560X400X390",0.088))))*R285</f>
        <v>7.0999999999999994E-2</v>
      </c>
      <c r="Z285" s="98">
        <v>0</v>
      </c>
    </row>
    <row r="286" spans="1:26" s="47" customFormat="1" ht="14.25" customHeight="1">
      <c r="A286" s="188"/>
      <c r="B286" s="188"/>
      <c r="C286" s="188"/>
      <c r="D286" s="188"/>
      <c r="E286" s="98"/>
      <c r="F286" s="98"/>
      <c r="G286" s="98"/>
      <c r="H286" s="98"/>
      <c r="I286" s="98">
        <v>14</v>
      </c>
      <c r="J286" s="98"/>
      <c r="K286" s="98"/>
      <c r="L286" s="98"/>
      <c r="M286" s="98"/>
      <c r="N286" s="98"/>
      <c r="O286" s="98">
        <v>23</v>
      </c>
      <c r="P286" s="98"/>
      <c r="Q286" s="98">
        <v>23</v>
      </c>
      <c r="R286" s="98">
        <v>1</v>
      </c>
      <c r="S286" s="98">
        <f>SUM(C286:L286)*R286</f>
        <v>14</v>
      </c>
      <c r="T286" s="98">
        <v>2.33</v>
      </c>
      <c r="U286" s="98">
        <v>1.35</v>
      </c>
      <c r="V286" s="98">
        <v>2.33</v>
      </c>
      <c r="W286" s="98">
        <v>1.35</v>
      </c>
      <c r="X286" s="98" t="s">
        <v>181</v>
      </c>
      <c r="Y286" s="98">
        <f>IF(X286="595X289X390",0.071,IF(X286="597X292X191",0.034,IF(X286="560X600X390",0.132,IF(X286="560X400X390",0.088))))*R286</f>
        <v>3.4000000000000002E-2</v>
      </c>
      <c r="Z286" s="98">
        <v>0</v>
      </c>
    </row>
    <row r="287" spans="1:26" s="47" customFormat="1" ht="14.25" customHeight="1">
      <c r="A287" s="188"/>
      <c r="B287" s="188"/>
      <c r="C287" s="188"/>
      <c r="D287" s="188"/>
      <c r="E287" s="98">
        <v>5</v>
      </c>
      <c r="F287" s="98"/>
      <c r="G287" s="98">
        <v>13</v>
      </c>
      <c r="H287" s="98"/>
      <c r="I287" s="98">
        <v>3</v>
      </c>
      <c r="J287" s="98">
        <v>5</v>
      </c>
      <c r="K287" s="98">
        <v>5</v>
      </c>
      <c r="L287" s="98"/>
      <c r="M287" s="98"/>
      <c r="N287" s="98"/>
      <c r="O287" s="98">
        <v>24</v>
      </c>
      <c r="P287" s="98"/>
      <c r="Q287" s="98">
        <v>24</v>
      </c>
      <c r="R287" s="98">
        <v>1</v>
      </c>
      <c r="S287" s="98">
        <f>SUM(C287:L287)*R287</f>
        <v>31</v>
      </c>
      <c r="T287" s="98">
        <v>16.149999999999999</v>
      </c>
      <c r="U287" s="98">
        <v>14.57</v>
      </c>
      <c r="V287" s="98">
        <v>16.149999999999999</v>
      </c>
      <c r="W287" s="98">
        <v>14.57</v>
      </c>
      <c r="X287" s="98" t="s">
        <v>169</v>
      </c>
      <c r="Y287" s="98">
        <f>IF(X287="595X289X390",0.071,IF(X287="597X292X191",0.034,IF(X287="560X600X390",0.132,IF(X287="560X400X390",0.088))))*R287</f>
        <v>7.0999999999999994E-2</v>
      </c>
      <c r="Z287" s="98">
        <v>0</v>
      </c>
    </row>
    <row r="288" spans="1:26" s="47" customFormat="1" ht="14.25" customHeight="1">
      <c r="A288" s="100"/>
      <c r="B288" s="100"/>
      <c r="C288" s="192" t="s">
        <v>61</v>
      </c>
      <c r="D288" s="192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13">
        <f>SUM(R283:R287)</f>
        <v>5</v>
      </c>
      <c r="S288" s="113">
        <f>SUM(S283:S287)</f>
        <v>134</v>
      </c>
      <c r="T288" s="110">
        <v>68.569999999999993</v>
      </c>
      <c r="U288" s="110">
        <v>58.93</v>
      </c>
      <c r="V288" s="110">
        <v>68.569999999999993</v>
      </c>
      <c r="W288" s="110">
        <v>58.93</v>
      </c>
      <c r="X288" s="110"/>
      <c r="Y288" s="110">
        <f>SUM(Y283:Y287)</f>
        <v>0.31799999999999995</v>
      </c>
      <c r="Z288" s="110">
        <v>0</v>
      </c>
    </row>
    <row r="289" spans="1:26" s="47" customFormat="1" ht="14.25" customHeight="1">
      <c r="A289" s="100"/>
      <c r="B289" s="100"/>
      <c r="C289" s="192" t="s">
        <v>170</v>
      </c>
      <c r="D289" s="192"/>
      <c r="E289" s="113">
        <v>5</v>
      </c>
      <c r="F289" s="113">
        <v>28</v>
      </c>
      <c r="G289" s="113">
        <v>43</v>
      </c>
      <c r="H289" s="113">
        <v>31</v>
      </c>
      <c r="I289" s="113">
        <v>17</v>
      </c>
      <c r="J289" s="113">
        <v>5</v>
      </c>
      <c r="K289" s="113">
        <v>5</v>
      </c>
      <c r="L289" s="113"/>
      <c r="M289" s="113"/>
      <c r="N289" s="113"/>
      <c r="O289" s="227">
        <f>SUM(E289:M289)</f>
        <v>134</v>
      </c>
      <c r="P289" s="113"/>
      <c r="Q289" s="113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spans="1:26" s="47" customFormat="1" ht="14.25" customHeight="1">
      <c r="A290" s="100"/>
      <c r="B290" s="100"/>
      <c r="C290" s="192" t="s">
        <v>171</v>
      </c>
      <c r="D290" s="192"/>
      <c r="E290" s="113">
        <v>5</v>
      </c>
      <c r="F290" s="113">
        <v>28</v>
      </c>
      <c r="G290" s="113">
        <v>43</v>
      </c>
      <c r="H290" s="113">
        <v>31</v>
      </c>
      <c r="I290" s="113">
        <v>17</v>
      </c>
      <c r="J290" s="113">
        <v>5</v>
      </c>
      <c r="K290" s="113">
        <v>5</v>
      </c>
      <c r="L290" s="113"/>
      <c r="M290" s="113"/>
      <c r="N290" s="113"/>
      <c r="O290" s="227">
        <f>SUM(E290:M290)</f>
        <v>134</v>
      </c>
      <c r="P290" s="113"/>
      <c r="Q290" s="113"/>
      <c r="R290" s="110"/>
      <c r="S290" s="100"/>
      <c r="T290" s="100"/>
      <c r="U290" s="100"/>
      <c r="V290" s="100"/>
      <c r="W290" s="100"/>
      <c r="X290" s="100"/>
      <c r="Y290" s="100"/>
      <c r="Z290" s="100"/>
    </row>
    <row r="291" spans="1:26" s="47" customFormat="1" ht="14.25" customHeight="1">
      <c r="A291" s="100"/>
      <c r="B291" s="100"/>
      <c r="C291" s="192" t="s">
        <v>172</v>
      </c>
      <c r="D291" s="192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spans="1:26" s="47" customFormat="1" ht="14.25" customHeight="1">
      <c r="A292" s="100"/>
      <c r="B292" s="100"/>
      <c r="C292" s="192" t="s">
        <v>173</v>
      </c>
      <c r="D292" s="192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03"/>
      <c r="P292" s="103"/>
      <c r="Q292" s="103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spans="1:26" s="47" customFormat="1" ht="14.25" customHeight="1"/>
    <row r="294" spans="1:26" s="47" customFormat="1" ht="14.25" customHeight="1">
      <c r="A294" s="198" t="s">
        <v>147</v>
      </c>
      <c r="B294" s="198" t="s">
        <v>148</v>
      </c>
      <c r="C294" s="199" t="s">
        <v>149</v>
      </c>
      <c r="D294" s="109" t="s">
        <v>150</v>
      </c>
      <c r="E294" s="200" t="s">
        <v>151</v>
      </c>
      <c r="F294" s="200"/>
      <c r="G294" s="200"/>
      <c r="H294" s="200"/>
      <c r="I294" s="200"/>
      <c r="J294" s="200"/>
      <c r="K294" s="200"/>
      <c r="L294" s="200"/>
      <c r="M294" s="200"/>
      <c r="N294" s="200"/>
      <c r="O294" s="197" t="s">
        <v>152</v>
      </c>
      <c r="P294" s="197"/>
      <c r="Q294" s="197"/>
      <c r="R294" s="109" t="s">
        <v>153</v>
      </c>
      <c r="S294" s="109" t="s">
        <v>153</v>
      </c>
      <c r="T294" s="109" t="s">
        <v>154</v>
      </c>
      <c r="U294" s="109" t="s">
        <v>155</v>
      </c>
      <c r="V294" s="109" t="s">
        <v>154</v>
      </c>
      <c r="W294" s="109" t="s">
        <v>155</v>
      </c>
      <c r="X294" s="109" t="s">
        <v>156</v>
      </c>
      <c r="Y294" s="198" t="s">
        <v>103</v>
      </c>
      <c r="Z294" s="109" t="s">
        <v>157</v>
      </c>
    </row>
    <row r="295" spans="1:26" s="47" customFormat="1" ht="14.25" customHeight="1">
      <c r="A295" s="198"/>
      <c r="B295" s="198"/>
      <c r="C295" s="199"/>
      <c r="D295" s="111" t="s">
        <v>158</v>
      </c>
      <c r="E295" s="110" t="s">
        <v>211</v>
      </c>
      <c r="F295" s="110" t="s">
        <v>183</v>
      </c>
      <c r="G295" s="110" t="s">
        <v>184</v>
      </c>
      <c r="H295" s="110" t="s">
        <v>185</v>
      </c>
      <c r="I295" s="110" t="s">
        <v>186</v>
      </c>
      <c r="J295" s="110" t="s">
        <v>212</v>
      </c>
      <c r="K295" s="110" t="s">
        <v>188</v>
      </c>
      <c r="L295" s="110"/>
      <c r="M295" s="110"/>
      <c r="N295" s="110"/>
      <c r="O295" s="197"/>
      <c r="P295" s="197"/>
      <c r="Q295" s="197"/>
      <c r="R295" s="111" t="s">
        <v>164</v>
      </c>
      <c r="S295" s="111" t="s">
        <v>165</v>
      </c>
      <c r="T295" s="111" t="s">
        <v>156</v>
      </c>
      <c r="U295" s="111" t="s">
        <v>156</v>
      </c>
      <c r="V295" s="111" t="s">
        <v>166</v>
      </c>
      <c r="W295" s="111" t="s">
        <v>166</v>
      </c>
      <c r="X295" s="111" t="s">
        <v>102</v>
      </c>
      <c r="Y295" s="198"/>
      <c r="Z295" s="111" t="s">
        <v>167</v>
      </c>
    </row>
    <row r="296" spans="1:26" s="47" customFormat="1" ht="14.25" customHeight="1">
      <c r="A296" s="188" t="s">
        <v>55</v>
      </c>
      <c r="B296" s="188" t="s">
        <v>49</v>
      </c>
      <c r="C296" s="188" t="s">
        <v>215</v>
      </c>
      <c r="D296" s="188" t="s">
        <v>54</v>
      </c>
      <c r="E296" s="98"/>
      <c r="F296" s="98">
        <v>14</v>
      </c>
      <c r="G296" s="98"/>
      <c r="H296" s="98"/>
      <c r="I296" s="98"/>
      <c r="J296" s="98"/>
      <c r="K296" s="98"/>
      <c r="L296" s="98"/>
      <c r="M296" s="98"/>
      <c r="N296" s="98"/>
      <c r="O296" s="98">
        <v>25</v>
      </c>
      <c r="P296" s="98"/>
      <c r="Q296" s="98">
        <v>25</v>
      </c>
      <c r="R296" s="98">
        <v>1</v>
      </c>
      <c r="S296" s="98">
        <f t="shared" ref="S296:S301" si="27">SUM(C296:L296)*R296</f>
        <v>14</v>
      </c>
      <c r="T296" s="98">
        <v>2.68</v>
      </c>
      <c r="U296" s="98">
        <v>1.7</v>
      </c>
      <c r="V296" s="98">
        <v>2.68</v>
      </c>
      <c r="W296" s="98">
        <v>1.7</v>
      </c>
      <c r="X296" s="98" t="s">
        <v>181</v>
      </c>
      <c r="Y296" s="98">
        <f t="shared" ref="Y296:Y301" si="28">IF(X296="595X289X390",0.071,IF(X296="597X292X191",0.034,IF(X296="560X600X390",0.132,IF(X296="560X400X390",0.088))))*R296</f>
        <v>3.4000000000000002E-2</v>
      </c>
      <c r="Z296" s="98">
        <v>0</v>
      </c>
    </row>
    <row r="297" spans="1:26" s="47" customFormat="1" ht="14.25" customHeight="1">
      <c r="A297" s="188"/>
      <c r="B297" s="188"/>
      <c r="C297" s="188"/>
      <c r="D297" s="188"/>
      <c r="E297" s="98"/>
      <c r="F297" s="98"/>
      <c r="G297" s="98">
        <v>30</v>
      </c>
      <c r="H297" s="98"/>
      <c r="I297" s="98"/>
      <c r="J297" s="98"/>
      <c r="K297" s="98"/>
      <c r="L297" s="98"/>
      <c r="M297" s="98"/>
      <c r="N297" s="98"/>
      <c r="O297" s="98">
        <v>26</v>
      </c>
      <c r="P297" s="98"/>
      <c r="Q297" s="98">
        <v>26</v>
      </c>
      <c r="R297" s="98">
        <v>1</v>
      </c>
      <c r="S297" s="98">
        <f t="shared" si="27"/>
        <v>30</v>
      </c>
      <c r="T297" s="98">
        <v>7.46</v>
      </c>
      <c r="U297" s="98">
        <v>6.48</v>
      </c>
      <c r="V297" s="98">
        <v>7.46</v>
      </c>
      <c r="W297" s="98">
        <v>6.48</v>
      </c>
      <c r="X297" s="98" t="s">
        <v>169</v>
      </c>
      <c r="Y297" s="98">
        <f t="shared" si="28"/>
        <v>7.0999999999999994E-2</v>
      </c>
      <c r="Z297" s="98">
        <v>0</v>
      </c>
    </row>
    <row r="298" spans="1:26" s="47" customFormat="1" ht="14.25" customHeight="1">
      <c r="A298" s="188"/>
      <c r="B298" s="188"/>
      <c r="C298" s="188"/>
      <c r="D298" s="188"/>
      <c r="E298" s="98"/>
      <c r="F298" s="98"/>
      <c r="G298" s="98"/>
      <c r="H298" s="98">
        <v>30</v>
      </c>
      <c r="I298" s="98"/>
      <c r="J298" s="98"/>
      <c r="K298" s="98"/>
      <c r="L298" s="98"/>
      <c r="M298" s="98"/>
      <c r="N298" s="98"/>
      <c r="O298" s="98">
        <v>27</v>
      </c>
      <c r="P298" s="98"/>
      <c r="Q298" s="98">
        <v>27</v>
      </c>
      <c r="R298" s="98">
        <v>1</v>
      </c>
      <c r="S298" s="98">
        <f t="shared" si="27"/>
        <v>30</v>
      </c>
      <c r="T298" s="98">
        <v>15.26</v>
      </c>
      <c r="U298" s="98">
        <v>13.68</v>
      </c>
      <c r="V298" s="98">
        <v>15.26</v>
      </c>
      <c r="W298" s="98">
        <v>13.68</v>
      </c>
      <c r="X298" s="98" t="s">
        <v>169</v>
      </c>
      <c r="Y298" s="98">
        <f t="shared" si="28"/>
        <v>7.0999999999999994E-2</v>
      </c>
      <c r="Z298" s="98">
        <v>0</v>
      </c>
    </row>
    <row r="299" spans="1:26" s="47" customFormat="1" ht="14.25" customHeight="1">
      <c r="A299" s="188"/>
      <c r="B299" s="188"/>
      <c r="C299" s="188"/>
      <c r="D299" s="188"/>
      <c r="E299" s="98"/>
      <c r="F299" s="98"/>
      <c r="G299" s="98"/>
      <c r="H299" s="98"/>
      <c r="I299" s="98">
        <v>14</v>
      </c>
      <c r="J299" s="98"/>
      <c r="K299" s="98"/>
      <c r="L299" s="98"/>
      <c r="M299" s="98"/>
      <c r="N299" s="98"/>
      <c r="O299" s="98">
        <v>28</v>
      </c>
      <c r="P299" s="98"/>
      <c r="Q299" s="98">
        <v>28</v>
      </c>
      <c r="R299" s="98">
        <v>1</v>
      </c>
      <c r="S299" s="98">
        <f t="shared" si="27"/>
        <v>14</v>
      </c>
      <c r="T299" s="98">
        <v>15.58</v>
      </c>
      <c r="U299" s="98">
        <v>14</v>
      </c>
      <c r="V299" s="98">
        <v>15.58</v>
      </c>
      <c r="W299" s="98">
        <v>14</v>
      </c>
      <c r="X299" s="98" t="s">
        <v>181</v>
      </c>
      <c r="Y299" s="98">
        <f t="shared" si="28"/>
        <v>3.4000000000000002E-2</v>
      </c>
      <c r="Z299" s="98">
        <v>0</v>
      </c>
    </row>
    <row r="300" spans="1:26" s="47" customFormat="1" ht="14.25" customHeight="1">
      <c r="A300" s="188"/>
      <c r="B300" s="188"/>
      <c r="C300" s="188"/>
      <c r="D300" s="188"/>
      <c r="E300" s="98">
        <v>5</v>
      </c>
      <c r="F300" s="98">
        <v>4</v>
      </c>
      <c r="G300" s="98"/>
      <c r="H300" s="98"/>
      <c r="I300" s="98"/>
      <c r="J300" s="98"/>
      <c r="K300" s="98"/>
      <c r="L300" s="98"/>
      <c r="M300" s="98"/>
      <c r="N300" s="98"/>
      <c r="O300" s="98">
        <v>29</v>
      </c>
      <c r="P300" s="98"/>
      <c r="Q300" s="98">
        <v>29</v>
      </c>
      <c r="R300" s="98">
        <v>1</v>
      </c>
      <c r="S300" s="98">
        <f t="shared" si="27"/>
        <v>9</v>
      </c>
      <c r="T300" s="98">
        <v>8.9600000000000009</v>
      </c>
      <c r="U300" s="98">
        <v>7.98</v>
      </c>
      <c r="V300" s="98">
        <v>8.9600000000000009</v>
      </c>
      <c r="W300" s="98">
        <v>7.98</v>
      </c>
      <c r="X300" s="98" t="s">
        <v>181</v>
      </c>
      <c r="Y300" s="98">
        <f t="shared" si="28"/>
        <v>3.4000000000000002E-2</v>
      </c>
      <c r="Z300" s="98">
        <v>0</v>
      </c>
    </row>
    <row r="301" spans="1:26" s="47" customFormat="1" ht="14.25" customHeight="1">
      <c r="A301" s="188"/>
      <c r="B301" s="188"/>
      <c r="C301" s="188"/>
      <c r="D301" s="188"/>
      <c r="E301" s="98"/>
      <c r="F301" s="98"/>
      <c r="G301" s="98">
        <v>6</v>
      </c>
      <c r="H301" s="98">
        <v>5</v>
      </c>
      <c r="I301" s="98">
        <v>5</v>
      </c>
      <c r="J301" s="98">
        <v>6</v>
      </c>
      <c r="K301" s="98">
        <v>5</v>
      </c>
      <c r="L301" s="98"/>
      <c r="M301" s="98"/>
      <c r="N301" s="98"/>
      <c r="O301" s="98">
        <v>30</v>
      </c>
      <c r="P301" s="98"/>
      <c r="Q301" s="98">
        <v>30</v>
      </c>
      <c r="R301" s="98">
        <v>1</v>
      </c>
      <c r="S301" s="98">
        <f t="shared" si="27"/>
        <v>27</v>
      </c>
      <c r="T301" s="98">
        <v>3.62</v>
      </c>
      <c r="U301" s="98">
        <v>2.64</v>
      </c>
      <c r="V301" s="98">
        <v>3.62</v>
      </c>
      <c r="W301" s="98">
        <v>2.64</v>
      </c>
      <c r="X301" s="98" t="s">
        <v>169</v>
      </c>
      <c r="Y301" s="98">
        <f t="shared" si="28"/>
        <v>7.0999999999999994E-2</v>
      </c>
      <c r="Z301" s="98">
        <v>0</v>
      </c>
    </row>
    <row r="302" spans="1:26" s="47" customFormat="1" ht="14.25" customHeight="1">
      <c r="A302" s="100"/>
      <c r="B302" s="100"/>
      <c r="C302" s="192" t="s">
        <v>61</v>
      </c>
      <c r="D302" s="192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13">
        <f>SUM(R296:R301)</f>
        <v>6</v>
      </c>
      <c r="S302" s="113">
        <f>SUM(S296:S301)</f>
        <v>124</v>
      </c>
      <c r="T302" s="110">
        <v>55</v>
      </c>
      <c r="U302" s="110">
        <v>46.94</v>
      </c>
      <c r="V302" s="110">
        <v>55</v>
      </c>
      <c r="W302" s="110">
        <v>46.94</v>
      </c>
      <c r="X302" s="110"/>
      <c r="Y302" s="110">
        <f>SUM(Y296:Y301)</f>
        <v>0.315</v>
      </c>
      <c r="Z302" s="110">
        <v>0</v>
      </c>
    </row>
    <row r="303" spans="1:26" s="47" customFormat="1" ht="14.25" customHeight="1">
      <c r="A303" s="100"/>
      <c r="B303" s="100"/>
      <c r="C303" s="192" t="s">
        <v>170</v>
      </c>
      <c r="D303" s="192"/>
      <c r="E303" s="113">
        <v>5</v>
      </c>
      <c r="F303" s="113">
        <v>18</v>
      </c>
      <c r="G303" s="113">
        <v>36</v>
      </c>
      <c r="H303" s="113">
        <v>35</v>
      </c>
      <c r="I303" s="113">
        <v>19</v>
      </c>
      <c r="J303" s="113">
        <v>6</v>
      </c>
      <c r="K303" s="113">
        <v>5</v>
      </c>
      <c r="L303" s="113"/>
      <c r="M303" s="113"/>
      <c r="N303" s="113"/>
      <c r="O303" s="113">
        <v>124</v>
      </c>
      <c r="P303" s="113"/>
      <c r="Q303" s="113"/>
      <c r="R303" s="110"/>
      <c r="S303" s="110"/>
      <c r="T303" s="110"/>
      <c r="U303" s="110"/>
      <c r="V303" s="100"/>
      <c r="W303" s="110"/>
      <c r="X303" s="110"/>
      <c r="Y303" s="100"/>
      <c r="Z303" s="100"/>
    </row>
    <row r="304" spans="1:26" s="47" customFormat="1" ht="14.25" customHeight="1">
      <c r="A304" s="100"/>
      <c r="B304" s="100"/>
      <c r="C304" s="192" t="s">
        <v>171</v>
      </c>
      <c r="D304" s="192"/>
      <c r="E304" s="113">
        <v>5</v>
      </c>
      <c r="F304" s="113">
        <v>18</v>
      </c>
      <c r="G304" s="113">
        <v>36</v>
      </c>
      <c r="H304" s="113">
        <v>35</v>
      </c>
      <c r="I304" s="113">
        <v>19</v>
      </c>
      <c r="J304" s="113">
        <v>6</v>
      </c>
      <c r="K304" s="113">
        <v>5</v>
      </c>
      <c r="L304" s="113"/>
      <c r="M304" s="113"/>
      <c r="N304" s="113"/>
      <c r="O304" s="113">
        <v>124</v>
      </c>
      <c r="P304" s="113"/>
      <c r="Q304" s="113"/>
      <c r="R304" s="110"/>
      <c r="S304" s="100"/>
      <c r="T304" s="100"/>
      <c r="U304" s="100"/>
      <c r="V304" s="100"/>
      <c r="W304" s="100"/>
      <c r="X304" s="110"/>
      <c r="Y304" s="100"/>
      <c r="Z304" s="100"/>
    </row>
    <row r="305" spans="1:28" ht="14.25" customHeight="1">
      <c r="A305" s="100"/>
      <c r="B305" s="100"/>
      <c r="C305" s="192" t="s">
        <v>172</v>
      </c>
      <c r="D305" s="192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47"/>
      <c r="AB305" s="47"/>
    </row>
    <row r="306" spans="1:28" ht="14.25" customHeight="1">
      <c r="A306" s="100"/>
      <c r="B306" s="100"/>
      <c r="C306" s="192" t="s">
        <v>173</v>
      </c>
      <c r="D306" s="192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0"/>
      <c r="S306" s="100"/>
      <c r="T306" s="100"/>
      <c r="U306" s="100"/>
      <c r="V306" s="100"/>
      <c r="W306" s="100"/>
      <c r="X306" s="110"/>
      <c r="Y306" s="100"/>
      <c r="Z306" s="100"/>
      <c r="AA306" s="47"/>
      <c r="AB306" s="47"/>
    </row>
    <row r="307" spans="1:28" ht="14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 spans="1:28" ht="14.25" customHeight="1">
      <c r="A308" s="198" t="s">
        <v>147</v>
      </c>
      <c r="B308" s="198" t="s">
        <v>148</v>
      </c>
      <c r="C308" s="199" t="s">
        <v>149</v>
      </c>
      <c r="D308" s="109" t="s">
        <v>150</v>
      </c>
      <c r="E308" s="200" t="s">
        <v>151</v>
      </c>
      <c r="F308" s="200"/>
      <c r="G308" s="200"/>
      <c r="H308" s="200"/>
      <c r="I308" s="200"/>
      <c r="J308" s="200"/>
      <c r="K308" s="200"/>
      <c r="L308" s="200"/>
      <c r="M308" s="200"/>
      <c r="N308" s="200"/>
      <c r="O308" s="197" t="s">
        <v>152</v>
      </c>
      <c r="P308" s="197"/>
      <c r="Q308" s="197"/>
      <c r="R308" s="109" t="s">
        <v>153</v>
      </c>
      <c r="S308" s="109" t="s">
        <v>153</v>
      </c>
      <c r="T308" s="109" t="s">
        <v>154</v>
      </c>
      <c r="U308" s="109" t="s">
        <v>155</v>
      </c>
      <c r="V308" s="109" t="s">
        <v>154</v>
      </c>
      <c r="W308" s="109" t="s">
        <v>155</v>
      </c>
      <c r="X308" s="109" t="s">
        <v>156</v>
      </c>
      <c r="Y308" s="198" t="s">
        <v>103</v>
      </c>
      <c r="Z308" s="109" t="s">
        <v>157</v>
      </c>
      <c r="AA308" s="47"/>
      <c r="AB308" s="47"/>
    </row>
    <row r="309" spans="1:28" ht="14.25" customHeight="1">
      <c r="A309" s="198"/>
      <c r="B309" s="198"/>
      <c r="C309" s="199"/>
      <c r="D309" s="111" t="s">
        <v>158</v>
      </c>
      <c r="E309" s="110" t="s">
        <v>211</v>
      </c>
      <c r="F309" s="110" t="s">
        <v>183</v>
      </c>
      <c r="G309" s="110" t="s">
        <v>184</v>
      </c>
      <c r="H309" s="110" t="s">
        <v>185</v>
      </c>
      <c r="I309" s="110" t="s">
        <v>186</v>
      </c>
      <c r="J309" s="110" t="s">
        <v>212</v>
      </c>
      <c r="K309" s="110" t="s">
        <v>188</v>
      </c>
      <c r="L309" s="110"/>
      <c r="M309" s="110"/>
      <c r="N309" s="110"/>
      <c r="O309" s="197"/>
      <c r="P309" s="197"/>
      <c r="Q309" s="197"/>
      <c r="R309" s="111" t="s">
        <v>164</v>
      </c>
      <c r="S309" s="111" t="s">
        <v>165</v>
      </c>
      <c r="T309" s="111" t="s">
        <v>156</v>
      </c>
      <c r="U309" s="111" t="s">
        <v>156</v>
      </c>
      <c r="V309" s="111" t="s">
        <v>166</v>
      </c>
      <c r="W309" s="111" t="s">
        <v>166</v>
      </c>
      <c r="X309" s="111" t="s">
        <v>102</v>
      </c>
      <c r="Y309" s="198"/>
      <c r="Z309" s="111" t="s">
        <v>167</v>
      </c>
      <c r="AA309" s="47"/>
      <c r="AB309" s="47"/>
    </row>
    <row r="310" spans="1:28" ht="14.25" customHeight="1">
      <c r="A310" s="188" t="s">
        <v>70</v>
      </c>
      <c r="B310" s="188" t="s">
        <v>68</v>
      </c>
      <c r="C310" s="188" t="s">
        <v>216</v>
      </c>
      <c r="D310" s="188" t="s">
        <v>69</v>
      </c>
      <c r="E310" s="228"/>
      <c r="F310" s="228">
        <v>36</v>
      </c>
      <c r="G310" s="228"/>
      <c r="H310" s="228"/>
      <c r="I310" s="228"/>
      <c r="J310" s="228"/>
      <c r="K310" s="228"/>
      <c r="L310" s="98"/>
      <c r="M310" s="98"/>
      <c r="N310" s="98"/>
      <c r="O310" s="98">
        <v>31</v>
      </c>
      <c r="P310" s="98"/>
      <c r="Q310" s="98">
        <v>31</v>
      </c>
      <c r="R310" s="98">
        <v>1</v>
      </c>
      <c r="S310" s="98">
        <f>SUM(C310:L310)*R310</f>
        <v>36</v>
      </c>
      <c r="T310" s="98">
        <v>1.7</v>
      </c>
      <c r="U310" s="98">
        <v>0.72</v>
      </c>
      <c r="V310" s="98">
        <v>1.7</v>
      </c>
      <c r="W310" s="98">
        <v>0.72</v>
      </c>
      <c r="X310" s="98" t="s">
        <v>181</v>
      </c>
      <c r="Y310" s="86">
        <f>IF(X310="595X289X390",0.071,IF(X310="597X292X191",0.034,IF(X310="560X600X390",0.132,IF(X310="560X400X390",0.088))))*R310</f>
        <v>3.4000000000000002E-2</v>
      </c>
      <c r="Z310" s="98">
        <v>0</v>
      </c>
      <c r="AA310" s="47"/>
      <c r="AB310" s="47"/>
    </row>
    <row r="311" spans="1:28" ht="14.25" customHeight="1">
      <c r="A311" s="188"/>
      <c r="B311" s="188"/>
      <c r="C311" s="188"/>
      <c r="D311" s="188"/>
      <c r="E311" s="228"/>
      <c r="F311" s="228"/>
      <c r="G311" s="228">
        <v>35</v>
      </c>
      <c r="H311" s="228"/>
      <c r="I311" s="228"/>
      <c r="J311" s="228"/>
      <c r="K311" s="228"/>
      <c r="L311" s="98"/>
      <c r="M311" s="98"/>
      <c r="N311" s="98"/>
      <c r="O311" s="98">
        <v>32</v>
      </c>
      <c r="P311" s="98"/>
      <c r="Q311" s="98">
        <v>32</v>
      </c>
      <c r="R311" s="98">
        <v>1</v>
      </c>
      <c r="S311" s="98">
        <f>SUM(C311:L311)*R311</f>
        <v>35</v>
      </c>
      <c r="T311" s="98">
        <v>2.08</v>
      </c>
      <c r="U311" s="98">
        <v>1.1000000000000001</v>
      </c>
      <c r="V311" s="98">
        <v>2.08</v>
      </c>
      <c r="W311" s="98">
        <v>1.1000000000000001</v>
      </c>
      <c r="X311" s="98" t="s">
        <v>181</v>
      </c>
      <c r="Y311" s="86">
        <f>IF(X311="595X289X390",0.071,IF(X311="597X292X191",0.034,IF(X311="560X600X390",0.132,IF(X311="560X400X390",0.088))))*R311</f>
        <v>3.4000000000000002E-2</v>
      </c>
      <c r="Z311" s="98">
        <v>0</v>
      </c>
      <c r="AA311" s="47"/>
      <c r="AB311" s="47"/>
    </row>
    <row r="312" spans="1:28" ht="14.25" customHeight="1">
      <c r="A312" s="188"/>
      <c r="B312" s="188"/>
      <c r="C312" s="188"/>
      <c r="D312" s="188"/>
      <c r="E312" s="228"/>
      <c r="F312" s="228"/>
      <c r="G312" s="228"/>
      <c r="H312" s="228">
        <v>35</v>
      </c>
      <c r="I312" s="228"/>
      <c r="J312" s="228"/>
      <c r="K312" s="228"/>
      <c r="L312" s="98"/>
      <c r="M312" s="98"/>
      <c r="N312" s="98"/>
      <c r="O312" s="98">
        <v>32</v>
      </c>
      <c r="P312" s="98"/>
      <c r="Q312" s="98">
        <v>32</v>
      </c>
      <c r="R312" s="98">
        <v>1</v>
      </c>
      <c r="S312" s="98">
        <f t="shared" ref="S312:S314" si="29">SUM(C312:L312)*R312</f>
        <v>35</v>
      </c>
      <c r="T312" s="98">
        <v>2.08</v>
      </c>
      <c r="U312" s="98">
        <v>1.1000000000000001</v>
      </c>
      <c r="V312" s="98">
        <v>2.08</v>
      </c>
      <c r="W312" s="98">
        <v>1.1000000000000001</v>
      </c>
      <c r="X312" s="98" t="s">
        <v>181</v>
      </c>
      <c r="Y312" s="86">
        <f t="shared" ref="Y312:Y314" si="30">IF(X312="595X289X390",0.071,IF(X312="597X292X191",0.034,IF(X312="560X600X390",0.132,IF(X312="560X400X390",0.088))))*R312</f>
        <v>3.4000000000000002E-2</v>
      </c>
      <c r="Z312" s="98"/>
      <c r="AA312" s="47"/>
      <c r="AB312" s="47"/>
    </row>
    <row r="313" spans="1:28" ht="14.25" customHeight="1">
      <c r="A313" s="188"/>
      <c r="B313" s="188"/>
      <c r="C313" s="188"/>
      <c r="D313" s="188"/>
      <c r="E313" s="228"/>
      <c r="F313" s="228"/>
      <c r="G313" s="228">
        <v>24</v>
      </c>
      <c r="H313" s="228">
        <v>19</v>
      </c>
      <c r="I313" s="228">
        <v>29</v>
      </c>
      <c r="J313" s="228"/>
      <c r="K313" s="228"/>
      <c r="L313" s="98"/>
      <c r="M313" s="98"/>
      <c r="N313" s="98"/>
      <c r="O313" s="98">
        <v>32</v>
      </c>
      <c r="P313" s="98"/>
      <c r="Q313" s="98">
        <v>32</v>
      </c>
      <c r="R313" s="98">
        <v>1</v>
      </c>
      <c r="S313" s="98">
        <f t="shared" si="29"/>
        <v>72</v>
      </c>
      <c r="T313" s="98">
        <v>2.08</v>
      </c>
      <c r="U313" s="98">
        <v>1.1000000000000001</v>
      </c>
      <c r="V313" s="98">
        <v>2.08</v>
      </c>
      <c r="W313" s="98">
        <v>1.1000000000000001</v>
      </c>
      <c r="X313" s="98" t="s">
        <v>181</v>
      </c>
      <c r="Y313" s="86">
        <f t="shared" si="30"/>
        <v>3.4000000000000002E-2</v>
      </c>
      <c r="Z313" s="98"/>
      <c r="AA313" s="47"/>
      <c r="AB313" s="47"/>
    </row>
    <row r="314" spans="1:28" ht="14.25" customHeight="1">
      <c r="A314" s="188"/>
      <c r="B314" s="188"/>
      <c r="C314" s="188"/>
      <c r="D314" s="188"/>
      <c r="E314" s="228">
        <v>5</v>
      </c>
      <c r="F314" s="228"/>
      <c r="G314" s="228"/>
      <c r="H314" s="228"/>
      <c r="I314" s="228"/>
      <c r="J314" s="228">
        <v>10</v>
      </c>
      <c r="K314" s="228">
        <v>5</v>
      </c>
      <c r="L314" s="98"/>
      <c r="M314" s="98"/>
      <c r="N314" s="98"/>
      <c r="O314" s="98">
        <v>32</v>
      </c>
      <c r="P314" s="98"/>
      <c r="Q314" s="98">
        <v>32</v>
      </c>
      <c r="R314" s="98">
        <v>1</v>
      </c>
      <c r="S314" s="98">
        <f t="shared" si="29"/>
        <v>20</v>
      </c>
      <c r="T314" s="98">
        <v>2.08</v>
      </c>
      <c r="U314" s="98">
        <v>1.1000000000000001</v>
      </c>
      <c r="V314" s="98">
        <v>2.08</v>
      </c>
      <c r="W314" s="98">
        <v>1.1000000000000001</v>
      </c>
      <c r="X314" s="98" t="s">
        <v>169</v>
      </c>
      <c r="Y314" s="86">
        <f t="shared" si="30"/>
        <v>7.0999999999999994E-2</v>
      </c>
      <c r="Z314" s="98">
        <v>0</v>
      </c>
      <c r="AA314" s="47"/>
      <c r="AB314" s="47"/>
    </row>
    <row r="315" spans="1:28" ht="14.25" customHeight="1">
      <c r="A315" s="100"/>
      <c r="B315" s="100"/>
      <c r="C315" s="192" t="s">
        <v>61</v>
      </c>
      <c r="D315" s="192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13">
        <f>SUM(R310:R314)</f>
        <v>5</v>
      </c>
      <c r="S315" s="113">
        <f>SUM(S310:S314)</f>
        <v>198</v>
      </c>
      <c r="T315" s="110">
        <v>26.31</v>
      </c>
      <c r="U315" s="110">
        <v>20.21</v>
      </c>
      <c r="V315" s="110">
        <v>26.31</v>
      </c>
      <c r="W315" s="110">
        <v>20.21</v>
      </c>
      <c r="X315" s="110"/>
      <c r="Y315" s="110">
        <f>SUM(Y310:Y314)</f>
        <v>0.20700000000000002</v>
      </c>
      <c r="Z315" s="110">
        <v>0</v>
      </c>
      <c r="AA315" s="47"/>
      <c r="AB315" s="47"/>
    </row>
    <row r="316" spans="1:28" ht="14.25" customHeight="1">
      <c r="A316" s="100"/>
      <c r="B316" s="100"/>
      <c r="C316" s="192" t="s">
        <v>170</v>
      </c>
      <c r="D316" s="192"/>
      <c r="E316" s="113">
        <v>5</v>
      </c>
      <c r="F316" s="113">
        <v>36</v>
      </c>
      <c r="G316" s="113">
        <v>59</v>
      </c>
      <c r="H316" s="113">
        <v>54</v>
      </c>
      <c r="I316" s="113">
        <v>29</v>
      </c>
      <c r="J316" s="113">
        <v>10</v>
      </c>
      <c r="K316" s="113">
        <v>5</v>
      </c>
      <c r="L316" s="113"/>
      <c r="M316" s="113"/>
      <c r="N316" s="113"/>
      <c r="O316" s="227">
        <f>SUM(E316:M316)</f>
        <v>198</v>
      </c>
      <c r="P316" s="113"/>
      <c r="Q316" s="113"/>
      <c r="R316" s="100"/>
      <c r="S316" s="100"/>
      <c r="T316" s="100"/>
      <c r="U316" s="100"/>
      <c r="V316" s="100"/>
      <c r="W316" s="100"/>
      <c r="X316" s="100"/>
      <c r="Y316" s="100"/>
      <c r="Z316" s="100"/>
      <c r="AA316" s="47"/>
      <c r="AB316" s="47"/>
    </row>
    <row r="317" spans="1:28" ht="14.25" customHeight="1">
      <c r="A317" s="100"/>
      <c r="B317" s="100"/>
      <c r="C317" s="192" t="s">
        <v>171</v>
      </c>
      <c r="D317" s="192"/>
      <c r="E317" s="113">
        <v>5</v>
      </c>
      <c r="F317" s="113">
        <v>36</v>
      </c>
      <c r="G317" s="113">
        <v>59</v>
      </c>
      <c r="H317" s="113">
        <v>54</v>
      </c>
      <c r="I317" s="113">
        <v>29</v>
      </c>
      <c r="J317" s="113">
        <v>10</v>
      </c>
      <c r="K317" s="113">
        <v>5</v>
      </c>
      <c r="L317" s="113"/>
      <c r="M317" s="113"/>
      <c r="N317" s="113"/>
      <c r="O317" s="227">
        <f>SUM(E317:M317)</f>
        <v>198</v>
      </c>
      <c r="P317" s="113"/>
      <c r="Q317" s="113"/>
      <c r="R317" s="110"/>
      <c r="S317" s="100"/>
      <c r="T317" s="100"/>
      <c r="U317" s="100"/>
      <c r="V317" s="100"/>
      <c r="W317" s="100"/>
      <c r="X317" s="100"/>
      <c r="Y317" s="100"/>
      <c r="Z317" s="100"/>
      <c r="AA317" s="47"/>
      <c r="AB317" s="47"/>
    </row>
    <row r="318" spans="1:28" ht="14.25" customHeight="1">
      <c r="A318" s="100"/>
      <c r="B318" s="100"/>
      <c r="C318" s="192" t="s">
        <v>172</v>
      </c>
      <c r="D318" s="192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47"/>
      <c r="AB318" s="47"/>
    </row>
    <row r="319" spans="1:28" ht="14.25" customHeight="1">
      <c r="A319" s="100"/>
      <c r="B319" s="100"/>
      <c r="C319" s="192" t="s">
        <v>173</v>
      </c>
      <c r="D319" s="192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03"/>
      <c r="P319" s="103"/>
      <c r="Q319" s="103"/>
      <c r="R319" s="116">
        <f>R217+R228+R238+R250+R262+R275+R288+R302+R315</f>
        <v>35</v>
      </c>
      <c r="S319" s="116">
        <f>S217+S228+S238+S250+S262+S275+S288+S302+S315</f>
        <v>1200</v>
      </c>
      <c r="T319" s="91"/>
      <c r="U319" s="91"/>
      <c r="V319" s="117">
        <f>V217+V228+V238+V250+V262+V275+V288+V302+V315</f>
        <v>380.56</v>
      </c>
      <c r="W319" s="117">
        <f>W217+W228+W238+W250+W262+W275+W288+W302+W315</f>
        <v>323.65999999999997</v>
      </c>
      <c r="X319" s="117"/>
      <c r="Y319" s="117">
        <f>Y217+Y228+Y238+Y250+Y262+Y275+Y288+Y302+Y315</f>
        <v>1.8360000000000001</v>
      </c>
      <c r="Z319" s="116">
        <f>Z217+Z228+Z238+Z250+Z262+Z275+Z288+Z302+Z315</f>
        <v>0</v>
      </c>
      <c r="AA319" s="47"/>
      <c r="AB319" s="47"/>
    </row>
    <row r="320" spans="1:28" ht="14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 spans="1:28" ht="14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 spans="1:28" ht="14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 spans="1:28" ht="14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 spans="1:28" ht="14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193"/>
      <c r="U324" s="193"/>
      <c r="V324" s="193"/>
      <c r="W324" s="193"/>
      <c r="X324" s="47"/>
      <c r="Y324" s="47"/>
      <c r="Z324" s="47"/>
      <c r="AA324" s="47"/>
      <c r="AB324" s="47"/>
    </row>
    <row r="325" spans="1:28" ht="14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194" t="s">
        <v>125</v>
      </c>
      <c r="U325" s="194"/>
      <c r="V325" s="194"/>
      <c r="W325" s="194"/>
      <c r="X325" s="47"/>
      <c r="Y325" s="47"/>
      <c r="Z325" s="47"/>
      <c r="AA325" s="47"/>
      <c r="AB325" s="47"/>
    </row>
    <row r="326" spans="1:28" ht="14.25" customHeight="1">
      <c r="A326" s="118"/>
      <c r="B326" s="118"/>
      <c r="C326" s="118"/>
      <c r="D326" s="118"/>
      <c r="E326" s="118"/>
      <c r="F326" s="118"/>
      <c r="G326" s="118"/>
      <c r="H326" s="118"/>
      <c r="I326" s="106"/>
      <c r="J326" s="106"/>
      <c r="K326" s="106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47"/>
      <c r="AB326" s="47"/>
    </row>
    <row r="327" spans="1:28" ht="14.25" customHeight="1">
      <c r="A327" s="195"/>
      <c r="B327" s="195"/>
      <c r="C327" s="195"/>
      <c r="D327" s="195"/>
      <c r="E327" s="195"/>
      <c r="F327" s="195"/>
      <c r="G327" s="195"/>
      <c r="H327" s="195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  <c r="AA327" s="47"/>
      <c r="AB327" s="47"/>
    </row>
    <row r="328" spans="1:28" ht="14.25" customHeight="1">
      <c r="A328" s="195"/>
      <c r="B328" s="195"/>
      <c r="C328" s="195"/>
      <c r="D328" s="195"/>
      <c r="E328" s="195"/>
      <c r="F328" s="195"/>
      <c r="G328" s="195"/>
      <c r="H328" s="195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  <c r="AA328" s="47"/>
      <c r="AB328" s="47"/>
    </row>
    <row r="329" spans="1:28" ht="14.25" customHeight="1">
      <c r="A329" s="195"/>
      <c r="B329" s="195"/>
      <c r="C329" s="195"/>
      <c r="D329" s="195"/>
      <c r="E329" s="195"/>
      <c r="F329" s="195"/>
      <c r="G329" s="195"/>
      <c r="H329" s="195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  <c r="AA329" s="47"/>
      <c r="AB329" s="47"/>
    </row>
    <row r="330" spans="1:28" ht="14.25" customHeight="1">
      <c r="A330" s="195"/>
      <c r="B330" s="195"/>
      <c r="C330" s="195"/>
      <c r="D330" s="195"/>
      <c r="E330" s="195"/>
      <c r="F330" s="195"/>
      <c r="G330" s="195"/>
      <c r="H330" s="195"/>
      <c r="I330" s="119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47"/>
      <c r="AB330" s="47"/>
    </row>
    <row r="331" spans="1:28" ht="14.25" customHeight="1">
      <c r="A331" s="195"/>
      <c r="B331" s="195"/>
      <c r="C331" s="195"/>
      <c r="D331" s="195"/>
      <c r="E331" s="195"/>
      <c r="F331" s="195"/>
      <c r="G331" s="195"/>
      <c r="H331" s="195"/>
      <c r="I331" s="120" t="s">
        <v>217</v>
      </c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47"/>
      <c r="AB331" s="47"/>
    </row>
    <row r="332" spans="1:28" ht="14.25" customHeight="1">
      <c r="A332" s="186" t="s">
        <v>147</v>
      </c>
      <c r="B332" s="186" t="s">
        <v>148</v>
      </c>
      <c r="C332" s="189" t="s">
        <v>149</v>
      </c>
      <c r="D332" s="92" t="s">
        <v>150</v>
      </c>
      <c r="E332" s="190" t="s">
        <v>151</v>
      </c>
      <c r="F332" s="190"/>
      <c r="G332" s="190"/>
      <c r="H332" s="190"/>
      <c r="I332" s="190"/>
      <c r="J332" s="190"/>
      <c r="K332" s="190"/>
      <c r="L332" s="190"/>
      <c r="M332" s="190"/>
      <c r="N332" s="190"/>
      <c r="O332" s="186" t="s">
        <v>152</v>
      </c>
      <c r="P332" s="186"/>
      <c r="Q332" s="186"/>
      <c r="R332" s="92" t="s">
        <v>153</v>
      </c>
      <c r="S332" s="92" t="s">
        <v>153</v>
      </c>
      <c r="T332" s="92" t="s">
        <v>154</v>
      </c>
      <c r="U332" s="92" t="s">
        <v>155</v>
      </c>
      <c r="V332" s="92" t="s">
        <v>154</v>
      </c>
      <c r="W332" s="92" t="s">
        <v>155</v>
      </c>
      <c r="X332" s="92" t="s">
        <v>156</v>
      </c>
      <c r="Y332" s="186" t="s">
        <v>103</v>
      </c>
      <c r="Z332" s="92" t="s">
        <v>157</v>
      </c>
      <c r="AA332" s="47"/>
      <c r="AB332" s="47"/>
    </row>
    <row r="333" spans="1:28" ht="14.25" customHeight="1">
      <c r="A333" s="186"/>
      <c r="B333" s="186"/>
      <c r="C333" s="189"/>
      <c r="D333" s="95" t="s">
        <v>158</v>
      </c>
      <c r="E333" s="93" t="s">
        <v>159</v>
      </c>
      <c r="F333" s="93" t="s">
        <v>160</v>
      </c>
      <c r="G333" s="93" t="s">
        <v>161</v>
      </c>
      <c r="H333" s="93" t="s">
        <v>162</v>
      </c>
      <c r="I333" s="93" t="s">
        <v>163</v>
      </c>
      <c r="J333" s="93"/>
      <c r="K333" s="93"/>
      <c r="L333" s="93"/>
      <c r="M333" s="93"/>
      <c r="N333" s="93"/>
      <c r="O333" s="186"/>
      <c r="P333" s="186"/>
      <c r="Q333" s="186"/>
      <c r="R333" s="95" t="s">
        <v>164</v>
      </c>
      <c r="S333" s="95" t="s">
        <v>165</v>
      </c>
      <c r="T333" s="95" t="s">
        <v>156</v>
      </c>
      <c r="U333" s="95" t="s">
        <v>156</v>
      </c>
      <c r="V333" s="95" t="s">
        <v>166</v>
      </c>
      <c r="W333" s="95" t="s">
        <v>166</v>
      </c>
      <c r="X333" s="95" t="s">
        <v>102</v>
      </c>
      <c r="Y333" s="186"/>
      <c r="Z333" s="95" t="s">
        <v>167</v>
      </c>
      <c r="AA333" s="47"/>
      <c r="AB333" s="47"/>
    </row>
    <row r="334" spans="1:28" ht="14.25" customHeight="1">
      <c r="A334" s="188" t="s">
        <v>218</v>
      </c>
      <c r="B334" s="188" t="s">
        <v>65</v>
      </c>
      <c r="C334" s="188" t="s">
        <v>219</v>
      </c>
      <c r="D334" s="188" t="s">
        <v>38</v>
      </c>
      <c r="E334" s="98">
        <v>5</v>
      </c>
      <c r="F334" s="98">
        <v>5</v>
      </c>
      <c r="G334" s="98">
        <v>5</v>
      </c>
      <c r="H334" s="98">
        <v>5</v>
      </c>
      <c r="I334" s="98">
        <v>5</v>
      </c>
      <c r="J334" s="98"/>
      <c r="K334" s="98"/>
      <c r="L334" s="98"/>
      <c r="M334" s="98"/>
      <c r="N334" s="98"/>
      <c r="O334" s="98">
        <v>1</v>
      </c>
      <c r="P334" s="98"/>
      <c r="Q334" s="98">
        <f>O334+R334-1</f>
        <v>1</v>
      </c>
      <c r="R334" s="98">
        <v>1</v>
      </c>
      <c r="S334" s="98">
        <f>SUM(E334:N334)*R334</f>
        <v>25</v>
      </c>
      <c r="T334" s="98">
        <f>IF(X334="595X289X390",1.46,IF(X334="597X292X191",0.96,IF(X334="560X600X390",2.04,IF(X334="560X400X390",1.84))))+U334</f>
        <v>11.690000000000001</v>
      </c>
      <c r="U334" s="98">
        <f>+((E334*0.35)+(F334*0.37)+(G334*0.39)+(H334*0.42)+(I334*0.44)+(J334*0.46)+(K334*0.456)+(L334*0.468)+(M334*0.478))</f>
        <v>9.8500000000000014</v>
      </c>
      <c r="V334" s="112">
        <f>T334*R334</f>
        <v>11.690000000000001</v>
      </c>
      <c r="W334" s="112">
        <f>U334*R334</f>
        <v>9.8500000000000014</v>
      </c>
      <c r="X334" s="98" t="s">
        <v>206</v>
      </c>
      <c r="Y334" s="98">
        <f>IF(X334="595X289X390",0.071,IF(X334="597X292X191",0.034,IF(X334="560X600X390",0.132,IF(X334="560X400X390",0.088))))*R334</f>
        <v>8.7999999999999995E-2</v>
      </c>
      <c r="Z334" s="98">
        <v>0</v>
      </c>
      <c r="AA334" s="47"/>
      <c r="AB334" s="47"/>
    </row>
    <row r="335" spans="1:28" ht="14.25" customHeight="1">
      <c r="A335" s="188"/>
      <c r="B335" s="188"/>
      <c r="C335" s="188"/>
      <c r="D335" s="18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47"/>
      <c r="AB335" s="47"/>
    </row>
    <row r="336" spans="1:28" ht="14.25" customHeight="1">
      <c r="A336" s="100"/>
      <c r="B336" s="100"/>
      <c r="C336" s="185" t="s">
        <v>61</v>
      </c>
      <c r="D336" s="185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2">
        <f t="shared" ref="R336:W336" si="31">SUM(R334:R335)</f>
        <v>1</v>
      </c>
      <c r="S336" s="102">
        <f t="shared" si="31"/>
        <v>25</v>
      </c>
      <c r="T336" s="93">
        <f t="shared" si="31"/>
        <v>11.690000000000001</v>
      </c>
      <c r="U336" s="93">
        <f t="shared" si="31"/>
        <v>9.8500000000000014</v>
      </c>
      <c r="V336" s="93">
        <f t="shared" si="31"/>
        <v>11.690000000000001</v>
      </c>
      <c r="W336" s="93">
        <f t="shared" si="31"/>
        <v>9.8500000000000014</v>
      </c>
      <c r="X336" s="93"/>
      <c r="Y336" s="93">
        <f>SUM(Y334:Y335)</f>
        <v>8.7999999999999995E-2</v>
      </c>
      <c r="Z336" s="93">
        <f>SUM(Z334:Z335)</f>
        <v>0</v>
      </c>
      <c r="AA336" s="47"/>
      <c r="AB336" s="47"/>
    </row>
    <row r="337" spans="1:28" ht="14.25" customHeight="1">
      <c r="A337" s="100"/>
      <c r="B337" s="100"/>
      <c r="C337" s="185" t="s">
        <v>170</v>
      </c>
      <c r="D337" s="185"/>
      <c r="E337" s="102">
        <v>5</v>
      </c>
      <c r="F337" s="102">
        <v>5</v>
      </c>
      <c r="G337" s="102">
        <v>5</v>
      </c>
      <c r="H337" s="102">
        <v>5</v>
      </c>
      <c r="I337" s="102">
        <v>5</v>
      </c>
      <c r="J337" s="102"/>
      <c r="K337" s="102"/>
      <c r="L337" s="102"/>
      <c r="M337" s="102"/>
      <c r="N337" s="102"/>
      <c r="O337" s="102">
        <v>25</v>
      </c>
      <c r="P337" s="102"/>
      <c r="Q337" s="102"/>
      <c r="R337" s="100"/>
      <c r="S337" s="100"/>
      <c r="T337" s="100"/>
      <c r="U337" s="100"/>
      <c r="V337" s="100"/>
      <c r="W337" s="100"/>
      <c r="X337" s="100"/>
      <c r="Y337" s="100"/>
      <c r="Z337" s="100"/>
      <c r="AA337" s="47"/>
      <c r="AB337" s="47"/>
    </row>
    <row r="338" spans="1:28" ht="14.25" customHeight="1">
      <c r="A338" s="100"/>
      <c r="B338" s="100"/>
      <c r="C338" s="185" t="s">
        <v>171</v>
      </c>
      <c r="D338" s="185"/>
      <c r="E338" s="102">
        <v>5</v>
      </c>
      <c r="F338" s="102">
        <v>5</v>
      </c>
      <c r="G338" s="102">
        <v>5</v>
      </c>
      <c r="H338" s="102">
        <v>5</v>
      </c>
      <c r="I338" s="102">
        <v>5</v>
      </c>
      <c r="J338" s="102"/>
      <c r="K338" s="102"/>
      <c r="L338" s="102"/>
      <c r="M338" s="102"/>
      <c r="N338" s="102"/>
      <c r="O338" s="102">
        <v>25</v>
      </c>
      <c r="P338" s="102"/>
      <c r="Q338" s="102"/>
      <c r="R338" s="93"/>
      <c r="S338" s="100"/>
      <c r="T338" s="100"/>
      <c r="U338" s="100"/>
      <c r="V338" s="100"/>
      <c r="W338" s="100"/>
      <c r="X338" s="100"/>
      <c r="Y338" s="100"/>
      <c r="Z338" s="100"/>
      <c r="AA338" s="47"/>
      <c r="AB338" s="47"/>
    </row>
    <row r="339" spans="1:28" ht="14.25" customHeight="1">
      <c r="A339" s="100"/>
      <c r="B339" s="100"/>
      <c r="C339" s="185" t="s">
        <v>172</v>
      </c>
      <c r="D339" s="185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47"/>
      <c r="AB339" s="47"/>
    </row>
    <row r="340" spans="1:28" ht="14.25" customHeight="1">
      <c r="A340" s="100"/>
      <c r="B340" s="100"/>
      <c r="C340" s="185" t="s">
        <v>173</v>
      </c>
      <c r="D340" s="185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3"/>
      <c r="P340" s="103"/>
      <c r="Q340" s="103"/>
      <c r="R340" s="100"/>
      <c r="S340" s="100"/>
      <c r="T340" s="100"/>
      <c r="U340" s="100"/>
      <c r="V340" s="100"/>
      <c r="W340" s="100"/>
      <c r="X340" s="100"/>
      <c r="Y340" s="100"/>
      <c r="Z340" s="100"/>
      <c r="AA340" s="47"/>
      <c r="AB340" s="47"/>
    </row>
    <row r="341" spans="1:28" ht="14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 spans="1:28" ht="14.25" customHeight="1">
      <c r="A342" s="186" t="s">
        <v>147</v>
      </c>
      <c r="B342" s="186" t="s">
        <v>148</v>
      </c>
      <c r="C342" s="189" t="s">
        <v>149</v>
      </c>
      <c r="D342" s="92" t="s">
        <v>150</v>
      </c>
      <c r="E342" s="190" t="s">
        <v>151</v>
      </c>
      <c r="F342" s="190"/>
      <c r="G342" s="190"/>
      <c r="H342" s="190"/>
      <c r="I342" s="190"/>
      <c r="J342" s="190"/>
      <c r="K342" s="190"/>
      <c r="L342" s="190"/>
      <c r="M342" s="190"/>
      <c r="N342" s="190"/>
      <c r="O342" s="230" t="s">
        <v>152</v>
      </c>
      <c r="P342" s="231"/>
      <c r="Q342" s="232"/>
      <c r="R342" s="92" t="s">
        <v>153</v>
      </c>
      <c r="S342" s="92" t="s">
        <v>153</v>
      </c>
      <c r="T342" s="92" t="s">
        <v>154</v>
      </c>
      <c r="U342" s="92" t="s">
        <v>155</v>
      </c>
      <c r="V342" s="92" t="s">
        <v>154</v>
      </c>
      <c r="W342" s="92" t="s">
        <v>155</v>
      </c>
      <c r="X342" s="92" t="s">
        <v>156</v>
      </c>
      <c r="Y342" s="186" t="s">
        <v>103</v>
      </c>
      <c r="Z342" s="92" t="s">
        <v>157</v>
      </c>
      <c r="AA342" s="47"/>
      <c r="AB342" s="47"/>
    </row>
    <row r="343" spans="1:28" ht="14.25" customHeight="1">
      <c r="A343" s="186"/>
      <c r="B343" s="186"/>
      <c r="C343" s="189"/>
      <c r="D343" s="95" t="s">
        <v>158</v>
      </c>
      <c r="E343" s="93" t="s">
        <v>174</v>
      </c>
      <c r="F343" s="93" t="s">
        <v>175</v>
      </c>
      <c r="G343" s="93" t="s">
        <v>176</v>
      </c>
      <c r="H343" s="93" t="s">
        <v>177</v>
      </c>
      <c r="I343" s="93" t="s">
        <v>178</v>
      </c>
      <c r="J343" s="93"/>
      <c r="K343" s="93"/>
      <c r="L343" s="93"/>
      <c r="M343" s="93"/>
      <c r="N343" s="93"/>
      <c r="O343" s="233"/>
      <c r="P343" s="234"/>
      <c r="Q343" s="235"/>
      <c r="R343" s="95" t="s">
        <v>164</v>
      </c>
      <c r="S343" s="95" t="s">
        <v>165</v>
      </c>
      <c r="T343" s="95" t="s">
        <v>156</v>
      </c>
      <c r="U343" s="95" t="s">
        <v>156</v>
      </c>
      <c r="V343" s="95" t="s">
        <v>166</v>
      </c>
      <c r="W343" s="95" t="s">
        <v>166</v>
      </c>
      <c r="X343" s="95" t="s">
        <v>102</v>
      </c>
      <c r="Y343" s="186"/>
      <c r="Z343" s="95" t="s">
        <v>167</v>
      </c>
      <c r="AA343" s="47"/>
      <c r="AB343" s="47"/>
    </row>
    <row r="344" spans="1:28" ht="14.25" customHeight="1">
      <c r="A344" s="191" t="s">
        <v>220</v>
      </c>
      <c r="B344" s="191" t="s">
        <v>68</v>
      </c>
      <c r="C344" s="191" t="s">
        <v>221</v>
      </c>
      <c r="D344" s="191" t="s">
        <v>56</v>
      </c>
      <c r="E344" s="98">
        <v>5</v>
      </c>
      <c r="F344" s="98">
        <v>5</v>
      </c>
      <c r="G344" s="98">
        <v>5</v>
      </c>
      <c r="H344" s="98">
        <v>5</v>
      </c>
      <c r="I344" s="98">
        <v>5</v>
      </c>
      <c r="J344" s="98"/>
      <c r="K344" s="98"/>
      <c r="L344" s="98"/>
      <c r="M344" s="98"/>
      <c r="N344" s="98"/>
      <c r="O344" s="98">
        <f>Q334+1</f>
        <v>2</v>
      </c>
      <c r="P344" s="98"/>
      <c r="Q344" s="98">
        <f>O344+R344-1</f>
        <v>2</v>
      </c>
      <c r="R344" s="98">
        <v>1</v>
      </c>
      <c r="S344" s="98">
        <f>SUM(E344:N344)*R344</f>
        <v>25</v>
      </c>
      <c r="T344" s="98">
        <f>IF(X344="595X289X390",1.46,IF(X344="597X292X191",0.96,IF(X344="560X600X390",2.04,IF(X344="560X400X390",1.84))))+U344</f>
        <v>5.9099999999999993</v>
      </c>
      <c r="U344" s="98">
        <f>+((E344*0.172)+(F344*0.188)+(G344*0.194)+(H344*0.212)+(I344*0.224)+(J344*0.234)+(K344*0.245)+(L344*0.256)+(M344*0.248))</f>
        <v>4.9499999999999993</v>
      </c>
      <c r="V344" s="98">
        <f>T344*R344</f>
        <v>5.9099999999999993</v>
      </c>
      <c r="W344" s="98">
        <f>U344*R344</f>
        <v>4.9499999999999993</v>
      </c>
      <c r="X344" s="98" t="s">
        <v>181</v>
      </c>
      <c r="Y344" s="98">
        <f>IF(X344="595X289X390",0.071,IF(X344="597X292X191",0.034,IF(X344="560X600X390",0.132,IF(X344="560X400X390",0.088))))*R344</f>
        <v>3.4000000000000002E-2</v>
      </c>
      <c r="Z344" s="98">
        <v>0</v>
      </c>
      <c r="AA344" s="47"/>
      <c r="AB344" s="47"/>
    </row>
    <row r="345" spans="1:28" ht="14.25" customHeight="1">
      <c r="A345" s="191"/>
      <c r="B345" s="191"/>
      <c r="C345" s="191"/>
      <c r="D345" s="191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47"/>
      <c r="AB345" s="47"/>
    </row>
    <row r="346" spans="1:28" ht="14.25" customHeight="1">
      <c r="A346" s="100"/>
      <c r="B346" s="100"/>
      <c r="C346" s="185" t="s">
        <v>61</v>
      </c>
      <c r="D346" s="185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2">
        <f t="shared" ref="R346:W346" si="32">SUM(R344:R345)</f>
        <v>1</v>
      </c>
      <c r="S346" s="102">
        <f t="shared" si="32"/>
        <v>25</v>
      </c>
      <c r="T346" s="93">
        <f t="shared" si="32"/>
        <v>5.9099999999999993</v>
      </c>
      <c r="U346" s="93">
        <f t="shared" si="32"/>
        <v>4.9499999999999993</v>
      </c>
      <c r="V346" s="93">
        <f t="shared" si="32"/>
        <v>5.9099999999999993</v>
      </c>
      <c r="W346" s="93">
        <f t="shared" si="32"/>
        <v>4.9499999999999993</v>
      </c>
      <c r="X346" s="93"/>
      <c r="Y346" s="93">
        <f>SUM(Y344:Y345)</f>
        <v>3.4000000000000002E-2</v>
      </c>
      <c r="Z346" s="93">
        <f>SUM(Z344:Z345)</f>
        <v>0</v>
      </c>
      <c r="AA346" s="47"/>
      <c r="AB346" s="47"/>
    </row>
    <row r="347" spans="1:28" ht="14.25" customHeight="1">
      <c r="A347" s="100"/>
      <c r="B347" s="100"/>
      <c r="C347" s="185" t="s">
        <v>170</v>
      </c>
      <c r="D347" s="185"/>
      <c r="E347" s="102">
        <v>5</v>
      </c>
      <c r="F347" s="102">
        <v>5</v>
      </c>
      <c r="G347" s="102">
        <v>5</v>
      </c>
      <c r="H347" s="102">
        <v>5</v>
      </c>
      <c r="I347" s="102">
        <v>5</v>
      </c>
      <c r="J347" s="102"/>
      <c r="K347" s="102"/>
      <c r="L347" s="102"/>
      <c r="M347" s="102"/>
      <c r="N347" s="102"/>
      <c r="O347" s="102">
        <f>SUM(E347:N347)</f>
        <v>25</v>
      </c>
      <c r="P347" s="102"/>
      <c r="Q347" s="102"/>
      <c r="R347" s="100"/>
      <c r="S347" s="100"/>
      <c r="T347" s="100"/>
      <c r="U347" s="100"/>
      <c r="V347" s="100"/>
      <c r="W347" s="100"/>
      <c r="X347" s="100"/>
      <c r="Y347" s="100"/>
      <c r="Z347" s="100"/>
      <c r="AA347" s="47"/>
      <c r="AB347" s="47"/>
    </row>
    <row r="348" spans="1:28" ht="14.25" customHeight="1">
      <c r="A348" s="100"/>
      <c r="B348" s="100"/>
      <c r="C348" s="185" t="s">
        <v>171</v>
      </c>
      <c r="D348" s="185"/>
      <c r="E348" s="102">
        <v>5</v>
      </c>
      <c r="F348" s="102">
        <v>5</v>
      </c>
      <c r="G348" s="102">
        <v>5</v>
      </c>
      <c r="H348" s="102">
        <v>5</v>
      </c>
      <c r="I348" s="102">
        <v>5</v>
      </c>
      <c r="J348" s="102"/>
      <c r="K348" s="102"/>
      <c r="L348" s="102"/>
      <c r="M348" s="102"/>
      <c r="N348" s="102"/>
      <c r="O348" s="102">
        <f>SUM(E348:N348)</f>
        <v>25</v>
      </c>
      <c r="P348" s="102"/>
      <c r="Q348" s="102"/>
      <c r="R348" s="93"/>
      <c r="S348" s="100"/>
      <c r="T348" s="100"/>
      <c r="U348" s="100"/>
      <c r="V348" s="100"/>
      <c r="W348" s="100"/>
      <c r="X348" s="100"/>
      <c r="Y348" s="100"/>
      <c r="Z348" s="100"/>
      <c r="AA348" s="47"/>
      <c r="AB348" s="47"/>
    </row>
    <row r="349" spans="1:28" ht="14.25" customHeight="1">
      <c r="A349" s="100"/>
      <c r="B349" s="100"/>
      <c r="C349" s="185" t="s">
        <v>172</v>
      </c>
      <c r="D349" s="185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47"/>
      <c r="AB349" s="47"/>
    </row>
    <row r="350" spans="1:28" ht="14.25" customHeight="1">
      <c r="A350" s="100"/>
      <c r="B350" s="100"/>
      <c r="C350" s="185" t="s">
        <v>173</v>
      </c>
      <c r="D350" s="185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3"/>
      <c r="P350" s="103"/>
      <c r="Q350" s="103"/>
      <c r="R350" s="100"/>
      <c r="S350" s="100"/>
      <c r="T350" s="100"/>
      <c r="U350" s="100"/>
      <c r="V350" s="100"/>
      <c r="W350" s="100"/>
      <c r="X350" s="100"/>
      <c r="Y350" s="100"/>
      <c r="Z350" s="100"/>
      <c r="AA350" s="47"/>
      <c r="AB350" s="47"/>
    </row>
    <row r="351" spans="1:28" ht="14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 spans="1:28" ht="14.25" customHeight="1">
      <c r="A352" s="186" t="s">
        <v>147</v>
      </c>
      <c r="B352" s="186" t="s">
        <v>148</v>
      </c>
      <c r="C352" s="189" t="s">
        <v>149</v>
      </c>
      <c r="D352" s="92" t="s">
        <v>150</v>
      </c>
      <c r="E352" s="190" t="s">
        <v>151</v>
      </c>
      <c r="F352" s="190"/>
      <c r="G352" s="190"/>
      <c r="H352" s="190"/>
      <c r="I352" s="190"/>
      <c r="J352" s="190"/>
      <c r="K352" s="190"/>
      <c r="L352" s="190"/>
      <c r="M352" s="190"/>
      <c r="N352" s="190"/>
      <c r="O352" s="230" t="s">
        <v>152</v>
      </c>
      <c r="P352" s="231"/>
      <c r="Q352" s="232"/>
      <c r="R352" s="92" t="s">
        <v>153</v>
      </c>
      <c r="S352" s="92" t="s">
        <v>153</v>
      </c>
      <c r="T352" s="92" t="s">
        <v>154</v>
      </c>
      <c r="U352" s="92" t="s">
        <v>155</v>
      </c>
      <c r="V352" s="92" t="s">
        <v>154</v>
      </c>
      <c r="W352" s="92" t="s">
        <v>155</v>
      </c>
      <c r="X352" s="92" t="s">
        <v>156</v>
      </c>
      <c r="Y352" s="186" t="s">
        <v>103</v>
      </c>
      <c r="Z352" s="92" t="s">
        <v>157</v>
      </c>
      <c r="AA352" s="47"/>
      <c r="AB352" s="47"/>
    </row>
    <row r="353" spans="1:28" ht="14.25" customHeight="1">
      <c r="A353" s="186"/>
      <c r="B353" s="186"/>
      <c r="C353" s="189"/>
      <c r="D353" s="95" t="s">
        <v>158</v>
      </c>
      <c r="E353" s="93" t="s">
        <v>183</v>
      </c>
      <c r="F353" s="93" t="s">
        <v>184</v>
      </c>
      <c r="G353" s="93" t="s">
        <v>185</v>
      </c>
      <c r="H353" s="93" t="s">
        <v>186</v>
      </c>
      <c r="I353" s="93" t="s">
        <v>187</v>
      </c>
      <c r="J353" s="93"/>
      <c r="K353" s="93"/>
      <c r="L353" s="93"/>
      <c r="M353" s="93"/>
      <c r="N353" s="93"/>
      <c r="O353" s="233"/>
      <c r="P353" s="234"/>
      <c r="Q353" s="235"/>
      <c r="R353" s="95" t="s">
        <v>164</v>
      </c>
      <c r="S353" s="95" t="s">
        <v>165</v>
      </c>
      <c r="T353" s="95" t="s">
        <v>156</v>
      </c>
      <c r="U353" s="95" t="s">
        <v>156</v>
      </c>
      <c r="V353" s="95" t="s">
        <v>166</v>
      </c>
      <c r="W353" s="95" t="s">
        <v>166</v>
      </c>
      <c r="X353" s="95" t="s">
        <v>102</v>
      </c>
      <c r="Y353" s="186"/>
      <c r="Z353" s="95" t="s">
        <v>167</v>
      </c>
      <c r="AA353" s="47"/>
      <c r="AB353" s="47"/>
    </row>
    <row r="354" spans="1:28" ht="14.25" customHeight="1">
      <c r="A354" s="191" t="s">
        <v>222</v>
      </c>
      <c r="B354" s="191" t="s">
        <v>68</v>
      </c>
      <c r="C354" s="191" t="s">
        <v>223</v>
      </c>
      <c r="D354" s="191" t="s">
        <v>59</v>
      </c>
      <c r="E354" s="98">
        <v>5</v>
      </c>
      <c r="F354" s="98">
        <v>6</v>
      </c>
      <c r="G354" s="98">
        <v>5</v>
      </c>
      <c r="H354" s="98">
        <v>5</v>
      </c>
      <c r="I354" s="98">
        <v>5</v>
      </c>
      <c r="J354" s="98"/>
      <c r="K354" s="98"/>
      <c r="L354" s="98"/>
      <c r="M354" s="98"/>
      <c r="N354" s="98"/>
      <c r="O354" s="98">
        <f>Q344+1</f>
        <v>3</v>
      </c>
      <c r="P354" s="98"/>
      <c r="Q354" s="98">
        <f>O354+R354-1</f>
        <v>3</v>
      </c>
      <c r="R354" s="98">
        <v>1</v>
      </c>
      <c r="S354" s="98">
        <f>SUM(E354:N354)*R354</f>
        <v>26</v>
      </c>
      <c r="T354" s="98">
        <f>IF(X354="595X289X390",1.46,IF(X354="597X292X191",0.96,IF(X354="560X600X390",2.04,IF(X354="560X400X390",1.84))))+U354</f>
        <v>6.0980000000000008</v>
      </c>
      <c r="U354" s="98">
        <f>+((E354*0.172)+(F354*0.188)+(G354*0.194)+(H354*0.212)+(I354*0.224)+(J354*0.234)+(K354*0.245)+(L354*0.256)+(M354*0.248))</f>
        <v>5.1380000000000008</v>
      </c>
      <c r="V354" s="98">
        <f>T354*R354</f>
        <v>6.0980000000000008</v>
      </c>
      <c r="W354" s="98">
        <f>U354*R354</f>
        <v>5.1380000000000008</v>
      </c>
      <c r="X354" s="98" t="s">
        <v>181</v>
      </c>
      <c r="Y354" s="98">
        <f>IF(X354="595X289X390",0.071,IF(X354="597X292X191",0.034,IF(X354="560X600X390",0.132,IF(X354="560X400X390",0.088))))*R354</f>
        <v>3.4000000000000002E-2</v>
      </c>
      <c r="Z354" s="98">
        <v>0</v>
      </c>
      <c r="AA354" s="47"/>
      <c r="AB354" s="47"/>
    </row>
    <row r="355" spans="1:28" ht="14.25" customHeight="1">
      <c r="A355" s="191"/>
      <c r="B355" s="191"/>
      <c r="C355" s="191"/>
      <c r="D355" s="191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47"/>
      <c r="AB355" s="47"/>
    </row>
    <row r="356" spans="1:28" ht="14.25" customHeight="1">
      <c r="A356" s="100"/>
      <c r="B356" s="100"/>
      <c r="C356" s="185" t="s">
        <v>61</v>
      </c>
      <c r="D356" s="185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2">
        <f t="shared" ref="R356:W356" si="33">SUM(R354:R355)</f>
        <v>1</v>
      </c>
      <c r="S356" s="102">
        <f t="shared" si="33"/>
        <v>26</v>
      </c>
      <c r="T356" s="93">
        <f t="shared" si="33"/>
        <v>6.0980000000000008</v>
      </c>
      <c r="U356" s="93">
        <f t="shared" si="33"/>
        <v>5.1380000000000008</v>
      </c>
      <c r="V356" s="93">
        <f t="shared" si="33"/>
        <v>6.0980000000000008</v>
      </c>
      <c r="W356" s="93">
        <f t="shared" si="33"/>
        <v>5.1380000000000008</v>
      </c>
      <c r="X356" s="93"/>
      <c r="Y356" s="93">
        <f>SUM(Y354:Y355)</f>
        <v>3.4000000000000002E-2</v>
      </c>
      <c r="Z356" s="93">
        <f>SUM(Z354:Z355)</f>
        <v>0</v>
      </c>
      <c r="AA356" s="47"/>
      <c r="AB356" s="47"/>
    </row>
    <row r="357" spans="1:28" ht="14.25" customHeight="1">
      <c r="A357" s="100"/>
      <c r="B357" s="100"/>
      <c r="C357" s="185" t="s">
        <v>170</v>
      </c>
      <c r="D357" s="185"/>
      <c r="E357" s="102">
        <v>5</v>
      </c>
      <c r="F357" s="102">
        <v>6</v>
      </c>
      <c r="G357" s="102">
        <v>5</v>
      </c>
      <c r="H357" s="102">
        <v>5</v>
      </c>
      <c r="I357" s="102">
        <v>5</v>
      </c>
      <c r="J357" s="102"/>
      <c r="K357" s="102"/>
      <c r="L357" s="102"/>
      <c r="M357" s="102"/>
      <c r="N357" s="102"/>
      <c r="O357" s="102">
        <f>SUM(E357:N357)</f>
        <v>26</v>
      </c>
      <c r="P357" s="102"/>
      <c r="Q357" s="102"/>
      <c r="R357" s="100"/>
      <c r="S357" s="100"/>
      <c r="T357" s="100"/>
      <c r="U357" s="100"/>
      <c r="V357" s="100"/>
      <c r="W357" s="100"/>
      <c r="X357" s="100"/>
      <c r="Y357" s="100"/>
      <c r="Z357" s="100"/>
      <c r="AA357" s="47"/>
      <c r="AB357" s="47"/>
    </row>
    <row r="358" spans="1:28" ht="14.25" customHeight="1">
      <c r="A358" s="100"/>
      <c r="B358" s="100"/>
      <c r="C358" s="185" t="s">
        <v>171</v>
      </c>
      <c r="D358" s="185"/>
      <c r="E358" s="102">
        <v>5</v>
      </c>
      <c r="F358" s="102">
        <v>6</v>
      </c>
      <c r="G358" s="102">
        <v>5</v>
      </c>
      <c r="H358" s="102">
        <v>5</v>
      </c>
      <c r="I358" s="102">
        <v>5</v>
      </c>
      <c r="J358" s="102"/>
      <c r="K358" s="102"/>
      <c r="L358" s="102"/>
      <c r="M358" s="102"/>
      <c r="N358" s="102"/>
      <c r="O358" s="102">
        <f>SUM(E358:N358)</f>
        <v>26</v>
      </c>
      <c r="P358" s="102"/>
      <c r="Q358" s="102"/>
      <c r="R358" s="93"/>
      <c r="S358" s="100"/>
      <c r="T358" s="100"/>
      <c r="U358" s="100"/>
      <c r="V358" s="100"/>
      <c r="W358" s="100"/>
      <c r="X358" s="100"/>
      <c r="Y358" s="100"/>
      <c r="Z358" s="100"/>
      <c r="AA358" s="47"/>
      <c r="AB358" s="47"/>
    </row>
    <row r="359" spans="1:28" ht="14.25" customHeight="1">
      <c r="A359" s="100"/>
      <c r="B359" s="100"/>
      <c r="C359" s="185" t="s">
        <v>172</v>
      </c>
      <c r="D359" s="185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47"/>
      <c r="AB359" s="47"/>
    </row>
    <row r="360" spans="1:28" ht="14.25" customHeight="1">
      <c r="A360" s="100"/>
      <c r="B360" s="100"/>
      <c r="C360" s="185" t="s">
        <v>173</v>
      </c>
      <c r="D360" s="185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3"/>
      <c r="P360" s="103"/>
      <c r="Q360" s="103"/>
      <c r="R360" s="116"/>
      <c r="S360" s="91"/>
      <c r="T360" s="91"/>
      <c r="U360" s="91"/>
      <c r="V360" s="91"/>
      <c r="W360" s="91"/>
      <c r="X360" s="91"/>
      <c r="Y360" s="91"/>
      <c r="Z360" s="91"/>
      <c r="AA360" s="47"/>
      <c r="AB360" s="47"/>
    </row>
    <row r="361" spans="1:28" ht="14.25" customHeight="1">
      <c r="A361" s="118"/>
      <c r="B361" s="118"/>
      <c r="C361" s="118"/>
      <c r="D361" s="118"/>
      <c r="E361" s="118"/>
      <c r="F361" s="118"/>
      <c r="G361" s="118"/>
      <c r="H361" s="118"/>
      <c r="I361" s="106"/>
      <c r="J361" s="106"/>
      <c r="K361" s="106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47"/>
      <c r="AB361" s="47"/>
    </row>
    <row r="362" spans="1:28" ht="14.25" customHeight="1">
      <c r="A362" s="186" t="s">
        <v>147</v>
      </c>
      <c r="B362" s="186" t="s">
        <v>148</v>
      </c>
      <c r="C362" s="189" t="s">
        <v>149</v>
      </c>
      <c r="D362" s="92" t="s">
        <v>150</v>
      </c>
      <c r="E362" s="190" t="s">
        <v>151</v>
      </c>
      <c r="F362" s="190"/>
      <c r="G362" s="190"/>
      <c r="H362" s="190"/>
      <c r="I362" s="190"/>
      <c r="J362" s="190"/>
      <c r="K362" s="190"/>
      <c r="L362" s="190"/>
      <c r="M362" s="190"/>
      <c r="N362" s="190"/>
      <c r="O362" s="230" t="s">
        <v>152</v>
      </c>
      <c r="P362" s="231"/>
      <c r="Q362" s="232"/>
      <c r="R362" s="92" t="s">
        <v>153</v>
      </c>
      <c r="S362" s="92" t="s">
        <v>153</v>
      </c>
      <c r="T362" s="92" t="s">
        <v>154</v>
      </c>
      <c r="U362" s="92" t="s">
        <v>155</v>
      </c>
      <c r="V362" s="92" t="s">
        <v>154</v>
      </c>
      <c r="W362" s="92" t="s">
        <v>155</v>
      </c>
      <c r="X362" s="92" t="s">
        <v>156</v>
      </c>
      <c r="Y362" s="186" t="s">
        <v>103</v>
      </c>
      <c r="Z362" s="92" t="s">
        <v>157</v>
      </c>
      <c r="AA362" s="47"/>
      <c r="AB362" s="47"/>
    </row>
    <row r="363" spans="1:28" ht="14.25" customHeight="1">
      <c r="A363" s="186"/>
      <c r="B363" s="186"/>
      <c r="C363" s="189"/>
      <c r="D363" s="95" t="s">
        <v>158</v>
      </c>
      <c r="E363" s="110" t="s">
        <v>174</v>
      </c>
      <c r="F363" s="110" t="s">
        <v>175</v>
      </c>
      <c r="G363" s="110" t="s">
        <v>176</v>
      </c>
      <c r="H363" s="110" t="s">
        <v>177</v>
      </c>
      <c r="I363" s="110" t="s">
        <v>178</v>
      </c>
      <c r="J363" s="93"/>
      <c r="K363" s="93"/>
      <c r="L363" s="93"/>
      <c r="M363" s="93"/>
      <c r="N363" s="93"/>
      <c r="O363" s="233"/>
      <c r="P363" s="234"/>
      <c r="Q363" s="235"/>
      <c r="R363" s="95" t="s">
        <v>164</v>
      </c>
      <c r="S363" s="95" t="s">
        <v>165</v>
      </c>
      <c r="T363" s="95" t="s">
        <v>156</v>
      </c>
      <c r="U363" s="95" t="s">
        <v>156</v>
      </c>
      <c r="V363" s="95" t="s">
        <v>166</v>
      </c>
      <c r="W363" s="95" t="s">
        <v>166</v>
      </c>
      <c r="X363" s="95" t="s">
        <v>102</v>
      </c>
      <c r="Y363" s="186"/>
      <c r="Z363" s="95" t="s">
        <v>167</v>
      </c>
      <c r="AA363" s="47"/>
      <c r="AB363" s="47"/>
    </row>
    <row r="364" spans="1:28" ht="14.25" customHeight="1">
      <c r="A364" s="188" t="s">
        <v>92</v>
      </c>
      <c r="B364" s="188" t="s">
        <v>46</v>
      </c>
      <c r="C364" s="188" t="s">
        <v>224</v>
      </c>
      <c r="D364" s="188" t="s">
        <v>76</v>
      </c>
      <c r="E364" s="98">
        <v>5</v>
      </c>
      <c r="F364" s="98">
        <v>5</v>
      </c>
      <c r="G364" s="98">
        <v>5</v>
      </c>
      <c r="H364" s="98">
        <v>5</v>
      </c>
      <c r="I364" s="98">
        <v>5</v>
      </c>
      <c r="J364" s="98"/>
      <c r="K364" s="98"/>
      <c r="L364" s="98"/>
      <c r="M364" s="98"/>
      <c r="N364" s="98"/>
      <c r="O364" s="98">
        <f>Q354+1</f>
        <v>4</v>
      </c>
      <c r="P364" s="98"/>
      <c r="Q364" s="98">
        <f>O364+R364-1</f>
        <v>4</v>
      </c>
      <c r="R364" s="98">
        <v>1</v>
      </c>
      <c r="S364" s="98">
        <f>SUM(C364:L364)*R364</f>
        <v>25</v>
      </c>
      <c r="T364" s="98">
        <v>1.1200000000000001</v>
      </c>
      <c r="U364" s="98">
        <v>0.14000000000000001</v>
      </c>
      <c r="V364" s="112">
        <v>1.1200000000000001</v>
      </c>
      <c r="W364" s="112">
        <v>0.14000000000000001</v>
      </c>
      <c r="X364" s="98" t="s">
        <v>181</v>
      </c>
      <c r="Y364" s="98">
        <f>IF(X364="595X289X390",0.071,IF(X364="597X292X191",0.034,IF(X364="560X600X390",0.132,IF(X364="560X400X390",0.088))))*R364</f>
        <v>3.4000000000000002E-2</v>
      </c>
      <c r="Z364" s="98">
        <v>0</v>
      </c>
      <c r="AA364" s="47"/>
      <c r="AB364" s="47"/>
    </row>
    <row r="365" spans="1:28" ht="14.25" customHeight="1">
      <c r="A365" s="188"/>
      <c r="B365" s="188"/>
      <c r="C365" s="188"/>
      <c r="D365" s="18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47"/>
      <c r="AB365" s="47"/>
    </row>
    <row r="366" spans="1:28" ht="14.25" customHeight="1">
      <c r="A366" s="100"/>
      <c r="B366" s="100"/>
      <c r="C366" s="185" t="s">
        <v>61</v>
      </c>
      <c r="D366" s="185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2">
        <f t="shared" ref="R366:W366" si="34">SUM(R364:R365)</f>
        <v>1</v>
      </c>
      <c r="S366" s="102">
        <f t="shared" si="34"/>
        <v>25</v>
      </c>
      <c r="T366" s="93">
        <f t="shared" si="34"/>
        <v>1.1200000000000001</v>
      </c>
      <c r="U366" s="93">
        <f t="shared" si="34"/>
        <v>0.14000000000000001</v>
      </c>
      <c r="V366" s="93">
        <f t="shared" si="34"/>
        <v>1.1200000000000001</v>
      </c>
      <c r="W366" s="93">
        <f t="shared" si="34"/>
        <v>0.14000000000000001</v>
      </c>
      <c r="X366" s="93"/>
      <c r="Y366" s="93">
        <f>SUM(Y364:Y365)</f>
        <v>3.4000000000000002E-2</v>
      </c>
      <c r="Z366" s="93">
        <v>0</v>
      </c>
      <c r="AA366" s="47"/>
      <c r="AB366" s="47"/>
    </row>
    <row r="367" spans="1:28" ht="14.25" customHeight="1">
      <c r="A367" s="100"/>
      <c r="B367" s="100"/>
      <c r="C367" s="185" t="s">
        <v>170</v>
      </c>
      <c r="D367" s="185"/>
      <c r="E367" s="102">
        <v>5</v>
      </c>
      <c r="F367" s="102">
        <v>5</v>
      </c>
      <c r="G367" s="102">
        <v>5</v>
      </c>
      <c r="H367" s="102">
        <v>5</v>
      </c>
      <c r="I367" s="102">
        <v>5</v>
      </c>
      <c r="J367" s="102"/>
      <c r="K367" s="102"/>
      <c r="L367" s="102"/>
      <c r="M367" s="102"/>
      <c r="N367" s="102"/>
      <c r="O367" s="229">
        <f>SUM(E367:M367)</f>
        <v>25</v>
      </c>
      <c r="P367" s="102"/>
      <c r="Q367" s="102"/>
      <c r="R367" s="100"/>
      <c r="S367" s="100"/>
      <c r="T367" s="100"/>
      <c r="U367" s="100"/>
      <c r="V367" s="100"/>
      <c r="W367" s="100"/>
      <c r="X367" s="100"/>
      <c r="Y367" s="100"/>
      <c r="Z367" s="100"/>
      <c r="AA367" s="47"/>
      <c r="AB367" s="47"/>
    </row>
    <row r="368" spans="1:28" ht="14.25" customHeight="1">
      <c r="A368" s="100"/>
      <c r="B368" s="100"/>
      <c r="C368" s="185" t="s">
        <v>171</v>
      </c>
      <c r="D368" s="185"/>
      <c r="E368" s="102">
        <v>5</v>
      </c>
      <c r="F368" s="102">
        <v>5</v>
      </c>
      <c r="G368" s="102">
        <v>5</v>
      </c>
      <c r="H368" s="102">
        <v>5</v>
      </c>
      <c r="I368" s="102">
        <v>5</v>
      </c>
      <c r="J368" s="102"/>
      <c r="K368" s="102"/>
      <c r="L368" s="102"/>
      <c r="M368" s="102"/>
      <c r="N368" s="102"/>
      <c r="O368" s="229">
        <f>SUM(E368:M368)</f>
        <v>25</v>
      </c>
      <c r="P368" s="102"/>
      <c r="Q368" s="102"/>
      <c r="R368" s="93"/>
      <c r="S368" s="100"/>
      <c r="T368" s="100"/>
      <c r="U368" s="100"/>
      <c r="V368" s="100"/>
      <c r="W368" s="100"/>
      <c r="X368" s="100"/>
      <c r="Y368" s="100"/>
      <c r="Z368" s="100"/>
      <c r="AA368" s="47"/>
      <c r="AB368" s="47"/>
    </row>
    <row r="369" spans="1:28" ht="14.25" customHeight="1">
      <c r="A369" s="100"/>
      <c r="B369" s="100"/>
      <c r="C369" s="185" t="s">
        <v>172</v>
      </c>
      <c r="D369" s="185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47"/>
      <c r="AB369" s="47"/>
    </row>
    <row r="370" spans="1:28" ht="14.25" customHeight="1">
      <c r="A370" s="100"/>
      <c r="B370" s="100"/>
      <c r="C370" s="185" t="s">
        <v>173</v>
      </c>
      <c r="D370" s="185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3"/>
      <c r="P370" s="103"/>
      <c r="Q370" s="103"/>
      <c r="R370" s="100"/>
      <c r="S370" s="100"/>
      <c r="T370" s="100"/>
      <c r="U370" s="100"/>
      <c r="V370" s="100"/>
      <c r="W370" s="100"/>
      <c r="X370" s="100"/>
      <c r="Y370" s="100"/>
      <c r="Z370" s="100"/>
      <c r="AA370" s="47"/>
      <c r="AB370" s="47"/>
    </row>
    <row r="371" spans="1:28" ht="14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 spans="1:28" ht="14.25" customHeight="1">
      <c r="A372" s="186" t="s">
        <v>147</v>
      </c>
      <c r="B372" s="186" t="s">
        <v>148</v>
      </c>
      <c r="C372" s="189" t="s">
        <v>149</v>
      </c>
      <c r="D372" s="92" t="s">
        <v>150</v>
      </c>
      <c r="E372" s="190" t="s">
        <v>151</v>
      </c>
      <c r="F372" s="190"/>
      <c r="G372" s="190"/>
      <c r="H372" s="190"/>
      <c r="I372" s="190"/>
      <c r="J372" s="190"/>
      <c r="K372" s="190"/>
      <c r="L372" s="190"/>
      <c r="M372" s="190"/>
      <c r="N372" s="190"/>
      <c r="O372" s="230" t="s">
        <v>152</v>
      </c>
      <c r="P372" s="231"/>
      <c r="Q372" s="232"/>
      <c r="R372" s="92" t="s">
        <v>153</v>
      </c>
      <c r="S372" s="92" t="s">
        <v>153</v>
      </c>
      <c r="T372" s="92" t="s">
        <v>154</v>
      </c>
      <c r="U372" s="92" t="s">
        <v>155</v>
      </c>
      <c r="V372" s="92" t="s">
        <v>154</v>
      </c>
      <c r="W372" s="92" t="s">
        <v>155</v>
      </c>
      <c r="X372" s="92" t="s">
        <v>156</v>
      </c>
      <c r="Y372" s="186" t="s">
        <v>103</v>
      </c>
      <c r="Z372" s="92" t="s">
        <v>157</v>
      </c>
      <c r="AA372" s="47"/>
      <c r="AB372" s="47"/>
    </row>
    <row r="373" spans="1:28" ht="14.25" customHeight="1">
      <c r="A373" s="186"/>
      <c r="B373" s="186"/>
      <c r="C373" s="189"/>
      <c r="D373" s="95" t="s">
        <v>158</v>
      </c>
      <c r="E373" s="110" t="s">
        <v>174</v>
      </c>
      <c r="F373" s="110" t="s">
        <v>175</v>
      </c>
      <c r="G373" s="110" t="s">
        <v>176</v>
      </c>
      <c r="H373" s="110" t="s">
        <v>177</v>
      </c>
      <c r="I373" s="110" t="s">
        <v>178</v>
      </c>
      <c r="J373" s="93"/>
      <c r="K373" s="93"/>
      <c r="L373" s="93"/>
      <c r="M373" s="93"/>
      <c r="N373" s="93"/>
      <c r="O373" s="233"/>
      <c r="P373" s="234"/>
      <c r="Q373" s="235"/>
      <c r="R373" s="95" t="s">
        <v>164</v>
      </c>
      <c r="S373" s="95" t="s">
        <v>165</v>
      </c>
      <c r="T373" s="95" t="s">
        <v>156</v>
      </c>
      <c r="U373" s="95" t="s">
        <v>156</v>
      </c>
      <c r="V373" s="95" t="s">
        <v>166</v>
      </c>
      <c r="W373" s="95" t="s">
        <v>166</v>
      </c>
      <c r="X373" s="95" t="s">
        <v>102</v>
      </c>
      <c r="Y373" s="186"/>
      <c r="Z373" s="95" t="s">
        <v>167</v>
      </c>
      <c r="AA373" s="47"/>
      <c r="AB373" s="47"/>
    </row>
    <row r="374" spans="1:28" ht="14.25" customHeight="1">
      <c r="A374" s="188" t="s">
        <v>225</v>
      </c>
      <c r="B374" s="188" t="s">
        <v>49</v>
      </c>
      <c r="C374" s="188" t="s">
        <v>226</v>
      </c>
      <c r="D374" s="188" t="s">
        <v>79</v>
      </c>
      <c r="E374" s="98">
        <v>5</v>
      </c>
      <c r="F374" s="98">
        <v>5</v>
      </c>
      <c r="G374" s="98">
        <v>5</v>
      </c>
      <c r="H374" s="98">
        <v>5</v>
      </c>
      <c r="I374" s="98">
        <v>5</v>
      </c>
      <c r="J374" s="98"/>
      <c r="K374" s="98"/>
      <c r="L374" s="98"/>
      <c r="M374" s="98"/>
      <c r="N374" s="98"/>
      <c r="O374" s="98">
        <f>Q364+1</f>
        <v>5</v>
      </c>
      <c r="P374" s="98"/>
      <c r="Q374" s="98">
        <f>O374+R374-1</f>
        <v>5</v>
      </c>
      <c r="R374" s="98">
        <v>1</v>
      </c>
      <c r="S374" s="98">
        <f>SUM(C374:L374)*R374</f>
        <v>25</v>
      </c>
      <c r="T374" s="98">
        <v>2.2799999999999998</v>
      </c>
      <c r="U374" s="98">
        <v>1.3</v>
      </c>
      <c r="V374" s="98">
        <v>2.2799999999999998</v>
      </c>
      <c r="W374" s="98">
        <v>1.3</v>
      </c>
      <c r="X374" s="98" t="s">
        <v>181</v>
      </c>
      <c r="Y374" s="98">
        <f>IF(X374="595X289X390",0.071,IF(X374="597X292X191",0.034,IF(X374="560X600X390",0.132,IF(X374="560X400X390",0.088))))*R374</f>
        <v>3.4000000000000002E-2</v>
      </c>
      <c r="Z374" s="98">
        <v>0</v>
      </c>
      <c r="AA374" s="47"/>
      <c r="AB374" s="47"/>
    </row>
    <row r="375" spans="1:28" ht="14.25" customHeight="1">
      <c r="A375" s="188"/>
      <c r="B375" s="188"/>
      <c r="C375" s="188"/>
      <c r="D375" s="18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47"/>
      <c r="AB375" s="47"/>
    </row>
    <row r="376" spans="1:28" ht="14.25" customHeight="1">
      <c r="A376" s="100"/>
      <c r="B376" s="100"/>
      <c r="C376" s="185" t="s">
        <v>61</v>
      </c>
      <c r="D376" s="185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2">
        <f t="shared" ref="R376:W376" si="35">SUM(R374:R375)</f>
        <v>1</v>
      </c>
      <c r="S376" s="102">
        <f t="shared" si="35"/>
        <v>25</v>
      </c>
      <c r="T376" s="93">
        <f t="shared" si="35"/>
        <v>2.2799999999999998</v>
      </c>
      <c r="U376" s="93">
        <f t="shared" si="35"/>
        <v>1.3</v>
      </c>
      <c r="V376" s="93">
        <f t="shared" si="35"/>
        <v>2.2799999999999998</v>
      </c>
      <c r="W376" s="93">
        <f t="shared" si="35"/>
        <v>1.3</v>
      </c>
      <c r="X376" s="93"/>
      <c r="Y376" s="93">
        <f>SUM(Y374:Y375)</f>
        <v>3.4000000000000002E-2</v>
      </c>
      <c r="Z376" s="93">
        <f>SUM(Z374:Z375)</f>
        <v>0</v>
      </c>
      <c r="AA376" s="47"/>
      <c r="AB376" s="47"/>
    </row>
    <row r="377" spans="1:28" ht="14.25" customHeight="1">
      <c r="A377" s="100"/>
      <c r="B377" s="100"/>
      <c r="C377" s="185" t="s">
        <v>170</v>
      </c>
      <c r="D377" s="185"/>
      <c r="E377" s="102">
        <v>5</v>
      </c>
      <c r="F377" s="102">
        <v>5</v>
      </c>
      <c r="G377" s="102">
        <v>5</v>
      </c>
      <c r="H377" s="102">
        <v>5</v>
      </c>
      <c r="I377" s="102">
        <v>5</v>
      </c>
      <c r="J377" s="102"/>
      <c r="K377" s="102"/>
      <c r="L377" s="102"/>
      <c r="M377" s="102"/>
      <c r="N377" s="102"/>
      <c r="O377" s="102">
        <v>25</v>
      </c>
      <c r="P377" s="102"/>
      <c r="Q377" s="102"/>
      <c r="R377" s="100"/>
      <c r="S377" s="100"/>
      <c r="T377" s="100"/>
      <c r="U377" s="100"/>
      <c r="V377" s="100"/>
      <c r="W377" s="100"/>
      <c r="X377" s="100"/>
      <c r="Y377" s="100"/>
      <c r="Z377" s="100"/>
      <c r="AA377" s="47"/>
      <c r="AB377" s="47"/>
    </row>
    <row r="378" spans="1:28" ht="14.25" customHeight="1">
      <c r="A378" s="100"/>
      <c r="B378" s="100"/>
      <c r="C378" s="185" t="s">
        <v>171</v>
      </c>
      <c r="D378" s="185"/>
      <c r="E378" s="102">
        <v>5</v>
      </c>
      <c r="F378" s="102">
        <v>5</v>
      </c>
      <c r="G378" s="102">
        <v>5</v>
      </c>
      <c r="H378" s="102">
        <v>5</v>
      </c>
      <c r="I378" s="102">
        <v>5</v>
      </c>
      <c r="J378" s="102"/>
      <c r="K378" s="102"/>
      <c r="L378" s="102"/>
      <c r="M378" s="102"/>
      <c r="N378" s="102"/>
      <c r="O378" s="102">
        <v>25</v>
      </c>
      <c r="P378" s="102"/>
      <c r="Q378" s="102"/>
      <c r="R378" s="93"/>
      <c r="S378" s="100"/>
      <c r="T378" s="100"/>
      <c r="U378" s="100"/>
      <c r="V378" s="100"/>
      <c r="W378" s="100"/>
      <c r="X378" s="100"/>
      <c r="Y378" s="100"/>
      <c r="Z378" s="100"/>
      <c r="AA378" s="47"/>
      <c r="AB378" s="47"/>
    </row>
    <row r="379" spans="1:28" ht="14.25" customHeight="1">
      <c r="A379" s="100"/>
      <c r="B379" s="100"/>
      <c r="C379" s="185" t="s">
        <v>172</v>
      </c>
      <c r="D379" s="185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47"/>
      <c r="AB379" s="47"/>
    </row>
    <row r="380" spans="1:28" ht="14.25" customHeight="1">
      <c r="A380" s="100"/>
      <c r="B380" s="100"/>
      <c r="C380" s="185" t="s">
        <v>173</v>
      </c>
      <c r="D380" s="185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3"/>
      <c r="P380" s="103"/>
      <c r="Q380" s="103"/>
      <c r="R380" s="100"/>
      <c r="S380" s="100"/>
      <c r="T380" s="100"/>
      <c r="U380" s="100"/>
      <c r="V380" s="100"/>
      <c r="W380" s="100"/>
      <c r="X380" s="100"/>
      <c r="Y380" s="100"/>
      <c r="Z380" s="100"/>
      <c r="AA380" s="47"/>
      <c r="AB380" s="47"/>
    </row>
    <row r="381" spans="1:28" ht="14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 spans="1:28" ht="14.25" customHeight="1">
      <c r="A382" s="186" t="s">
        <v>147</v>
      </c>
      <c r="B382" s="186" t="s">
        <v>148</v>
      </c>
      <c r="C382" s="189" t="s">
        <v>149</v>
      </c>
      <c r="D382" s="92" t="s">
        <v>150</v>
      </c>
      <c r="E382" s="190" t="s">
        <v>151</v>
      </c>
      <c r="F382" s="190"/>
      <c r="G382" s="190"/>
      <c r="H382" s="190"/>
      <c r="I382" s="190"/>
      <c r="J382" s="190"/>
      <c r="K382" s="190"/>
      <c r="L382" s="190"/>
      <c r="M382" s="190"/>
      <c r="N382" s="190"/>
      <c r="O382" s="230" t="s">
        <v>152</v>
      </c>
      <c r="P382" s="231"/>
      <c r="Q382" s="232"/>
      <c r="R382" s="92" t="s">
        <v>153</v>
      </c>
      <c r="S382" s="92" t="s">
        <v>153</v>
      </c>
      <c r="T382" s="92" t="s">
        <v>154</v>
      </c>
      <c r="U382" s="92" t="s">
        <v>155</v>
      </c>
      <c r="V382" s="92" t="s">
        <v>154</v>
      </c>
      <c r="W382" s="92" t="s">
        <v>155</v>
      </c>
      <c r="X382" s="92" t="s">
        <v>156</v>
      </c>
      <c r="Y382" s="186" t="s">
        <v>103</v>
      </c>
      <c r="Z382" s="92" t="s">
        <v>157</v>
      </c>
      <c r="AA382" s="47"/>
      <c r="AB382" s="47"/>
    </row>
    <row r="383" spans="1:28" ht="14.25" customHeight="1">
      <c r="A383" s="186"/>
      <c r="B383" s="186"/>
      <c r="C383" s="189"/>
      <c r="D383" s="95" t="s">
        <v>158</v>
      </c>
      <c r="E383" s="110" t="s">
        <v>183</v>
      </c>
      <c r="F383" s="110" t="s">
        <v>184</v>
      </c>
      <c r="G383" s="110" t="s">
        <v>185</v>
      </c>
      <c r="H383" s="110" t="s">
        <v>186</v>
      </c>
      <c r="I383" s="110" t="s">
        <v>187</v>
      </c>
      <c r="J383" s="93"/>
      <c r="K383" s="93"/>
      <c r="L383" s="93"/>
      <c r="M383" s="93"/>
      <c r="N383" s="93"/>
      <c r="O383" s="233"/>
      <c r="P383" s="234"/>
      <c r="Q383" s="235"/>
      <c r="R383" s="95" t="s">
        <v>164</v>
      </c>
      <c r="S383" s="95" t="s">
        <v>165</v>
      </c>
      <c r="T383" s="95" t="s">
        <v>156</v>
      </c>
      <c r="U383" s="95" t="s">
        <v>156</v>
      </c>
      <c r="V383" s="95" t="s">
        <v>166</v>
      </c>
      <c r="W383" s="95" t="s">
        <v>166</v>
      </c>
      <c r="X383" s="95" t="s">
        <v>102</v>
      </c>
      <c r="Y383" s="186"/>
      <c r="Z383" s="95" t="s">
        <v>167</v>
      </c>
      <c r="AA383" s="47"/>
      <c r="AB383" s="47"/>
    </row>
    <row r="384" spans="1:28" ht="14.25" customHeight="1">
      <c r="A384" s="188" t="s">
        <v>93</v>
      </c>
      <c r="B384" s="188" t="s">
        <v>46</v>
      </c>
      <c r="C384" s="188" t="s">
        <v>227</v>
      </c>
      <c r="D384" s="188" t="s">
        <v>82</v>
      </c>
      <c r="E384" s="98">
        <v>5</v>
      </c>
      <c r="F384" s="98">
        <v>6</v>
      </c>
      <c r="G384" s="98">
        <v>5</v>
      </c>
      <c r="H384" s="98">
        <v>5</v>
      </c>
      <c r="I384" s="98">
        <v>5</v>
      </c>
      <c r="J384" s="98"/>
      <c r="K384" s="98"/>
      <c r="L384" s="98"/>
      <c r="M384" s="98"/>
      <c r="N384" s="98"/>
      <c r="O384" s="98">
        <f>Q374+1</f>
        <v>6</v>
      </c>
      <c r="P384" s="98"/>
      <c r="Q384" s="98">
        <f>O384+R384-1</f>
        <v>6</v>
      </c>
      <c r="R384" s="98">
        <v>1</v>
      </c>
      <c r="S384" s="98">
        <f>SUM(C384:L384)*R384</f>
        <v>26</v>
      </c>
      <c r="T384" s="98">
        <v>2.27</v>
      </c>
      <c r="U384" s="98">
        <v>1.29</v>
      </c>
      <c r="V384" s="98">
        <v>2.27</v>
      </c>
      <c r="W384" s="98">
        <v>1.29</v>
      </c>
      <c r="X384" s="98" t="s">
        <v>181</v>
      </c>
      <c r="Y384" s="98">
        <f>IF(X384="595X289X390",0.071,IF(X384="597X292X191",0.034,IF(X384="560X600X390",0.132,IF(X384="560X400X390",0.088))))*R384</f>
        <v>3.4000000000000002E-2</v>
      </c>
      <c r="Z384" s="98">
        <v>0</v>
      </c>
      <c r="AA384" s="47"/>
      <c r="AB384" s="47"/>
    </row>
    <row r="385" spans="1:28" ht="14.25" customHeight="1">
      <c r="A385" s="188"/>
      <c r="B385" s="188"/>
      <c r="C385" s="188"/>
      <c r="D385" s="18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47"/>
      <c r="AB385" s="47"/>
    </row>
    <row r="386" spans="1:28" ht="14.25" customHeight="1">
      <c r="A386" s="100"/>
      <c r="B386" s="100"/>
      <c r="C386" s="185" t="s">
        <v>61</v>
      </c>
      <c r="D386" s="185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2">
        <f t="shared" ref="R386:W386" si="36">SUM(R384:R385)</f>
        <v>1</v>
      </c>
      <c r="S386" s="102">
        <f t="shared" si="36"/>
        <v>26</v>
      </c>
      <c r="T386" s="93">
        <f t="shared" si="36"/>
        <v>2.27</v>
      </c>
      <c r="U386" s="93">
        <f t="shared" si="36"/>
        <v>1.29</v>
      </c>
      <c r="V386" s="93">
        <f t="shared" si="36"/>
        <v>2.27</v>
      </c>
      <c r="W386" s="93">
        <f t="shared" si="36"/>
        <v>1.29</v>
      </c>
      <c r="X386" s="93"/>
      <c r="Y386" s="93">
        <f>SUM(Y384:Y385)</f>
        <v>3.4000000000000002E-2</v>
      </c>
      <c r="Z386" s="93">
        <f>SUM(Z384:Z385)</f>
        <v>0</v>
      </c>
      <c r="AA386" s="47"/>
      <c r="AB386" s="47"/>
    </row>
    <row r="387" spans="1:28" ht="14.25" customHeight="1">
      <c r="A387" s="100"/>
      <c r="B387" s="100"/>
      <c r="C387" s="185" t="s">
        <v>170</v>
      </c>
      <c r="D387" s="185"/>
      <c r="E387" s="102">
        <v>5</v>
      </c>
      <c r="F387" s="102">
        <v>6</v>
      </c>
      <c r="G387" s="102">
        <v>5</v>
      </c>
      <c r="H387" s="102">
        <v>5</v>
      </c>
      <c r="I387" s="102">
        <v>5</v>
      </c>
      <c r="J387" s="102"/>
      <c r="K387" s="102"/>
      <c r="L387" s="102"/>
      <c r="M387" s="102"/>
      <c r="N387" s="102"/>
      <c r="O387" s="229">
        <f>SUM(E387:M387)</f>
        <v>26</v>
      </c>
      <c r="P387" s="102"/>
      <c r="Q387" s="102"/>
      <c r="R387" s="100"/>
      <c r="S387" s="100"/>
      <c r="T387" s="100"/>
      <c r="U387" s="100"/>
      <c r="V387" s="100"/>
      <c r="W387" s="100"/>
      <c r="X387" s="100"/>
      <c r="Y387" s="100"/>
      <c r="Z387" s="100"/>
      <c r="AA387" s="47"/>
      <c r="AB387" s="47"/>
    </row>
    <row r="388" spans="1:28" ht="14.25" customHeight="1">
      <c r="A388" s="100"/>
      <c r="B388" s="100"/>
      <c r="C388" s="185" t="s">
        <v>171</v>
      </c>
      <c r="D388" s="185"/>
      <c r="E388" s="102">
        <v>5</v>
      </c>
      <c r="F388" s="102">
        <v>6</v>
      </c>
      <c r="G388" s="102">
        <v>5</v>
      </c>
      <c r="H388" s="102">
        <v>5</v>
      </c>
      <c r="I388" s="102">
        <v>5</v>
      </c>
      <c r="J388" s="102"/>
      <c r="K388" s="102"/>
      <c r="L388" s="102"/>
      <c r="M388" s="102"/>
      <c r="N388" s="102"/>
      <c r="O388" s="229">
        <f>SUM(E388:M388)</f>
        <v>26</v>
      </c>
      <c r="P388" s="102"/>
      <c r="Q388" s="102"/>
      <c r="R388" s="93"/>
      <c r="S388" s="100"/>
      <c r="T388" s="100"/>
      <c r="U388" s="100"/>
      <c r="V388" s="100"/>
      <c r="W388" s="100"/>
      <c r="X388" s="100"/>
      <c r="Y388" s="100"/>
      <c r="Z388" s="100"/>
      <c r="AA388" s="47"/>
      <c r="AB388" s="47"/>
    </row>
    <row r="389" spans="1:28" ht="14.25" customHeight="1">
      <c r="A389" s="100"/>
      <c r="B389" s="100"/>
      <c r="C389" s="185" t="s">
        <v>172</v>
      </c>
      <c r="D389" s="185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47"/>
      <c r="AB389" s="47"/>
    </row>
    <row r="390" spans="1:28" ht="14.25" customHeight="1">
      <c r="A390" s="100"/>
      <c r="B390" s="100"/>
      <c r="C390" s="185" t="s">
        <v>173</v>
      </c>
      <c r="D390" s="185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3"/>
      <c r="P390" s="103"/>
      <c r="Q390" s="103"/>
      <c r="R390" s="100"/>
      <c r="S390" s="100"/>
      <c r="T390" s="100"/>
      <c r="U390" s="100"/>
      <c r="V390" s="100"/>
      <c r="W390" s="100"/>
      <c r="X390" s="100"/>
      <c r="Y390" s="100"/>
      <c r="Z390" s="100"/>
      <c r="AA390" s="47"/>
      <c r="AB390" s="47"/>
    </row>
    <row r="391" spans="1:28" ht="14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 spans="1:28" ht="14.25" customHeight="1">
      <c r="A392" s="186" t="s">
        <v>147</v>
      </c>
      <c r="B392" s="186" t="s">
        <v>148</v>
      </c>
      <c r="C392" s="189" t="s">
        <v>149</v>
      </c>
      <c r="D392" s="92" t="s">
        <v>150</v>
      </c>
      <c r="E392" s="190" t="s">
        <v>151</v>
      </c>
      <c r="F392" s="190"/>
      <c r="G392" s="190"/>
      <c r="H392" s="190"/>
      <c r="I392" s="190"/>
      <c r="J392" s="190"/>
      <c r="K392" s="190"/>
      <c r="L392" s="190"/>
      <c r="M392" s="190"/>
      <c r="N392" s="190"/>
      <c r="O392" s="230" t="s">
        <v>152</v>
      </c>
      <c r="P392" s="231"/>
      <c r="Q392" s="232"/>
      <c r="R392" s="92" t="s">
        <v>153</v>
      </c>
      <c r="S392" s="92" t="s">
        <v>153</v>
      </c>
      <c r="T392" s="92" t="s">
        <v>154</v>
      </c>
      <c r="U392" s="92" t="s">
        <v>155</v>
      </c>
      <c r="V392" s="92" t="s">
        <v>154</v>
      </c>
      <c r="W392" s="92" t="s">
        <v>155</v>
      </c>
      <c r="X392" s="92" t="s">
        <v>156</v>
      </c>
      <c r="Y392" s="186" t="s">
        <v>103</v>
      </c>
      <c r="Z392" s="92" t="s">
        <v>157</v>
      </c>
      <c r="AA392" s="47"/>
      <c r="AB392" s="47"/>
    </row>
    <row r="393" spans="1:28" ht="14.25" customHeight="1">
      <c r="A393" s="186"/>
      <c r="B393" s="186"/>
      <c r="C393" s="189"/>
      <c r="D393" s="95" t="s">
        <v>158</v>
      </c>
      <c r="E393" s="110" t="s">
        <v>183</v>
      </c>
      <c r="F393" s="110" t="s">
        <v>184</v>
      </c>
      <c r="G393" s="110" t="s">
        <v>185</v>
      </c>
      <c r="H393" s="110" t="s">
        <v>186</v>
      </c>
      <c r="I393" s="110" t="s">
        <v>187</v>
      </c>
      <c r="J393" s="93"/>
      <c r="K393" s="93"/>
      <c r="L393" s="93"/>
      <c r="M393" s="93"/>
      <c r="N393" s="93"/>
      <c r="O393" s="233"/>
      <c r="P393" s="234"/>
      <c r="Q393" s="235"/>
      <c r="R393" s="95" t="s">
        <v>164</v>
      </c>
      <c r="S393" s="95" t="s">
        <v>165</v>
      </c>
      <c r="T393" s="95" t="s">
        <v>156</v>
      </c>
      <c r="U393" s="95" t="s">
        <v>156</v>
      </c>
      <c r="V393" s="95" t="s">
        <v>166</v>
      </c>
      <c r="W393" s="95" t="s">
        <v>166</v>
      </c>
      <c r="X393" s="95" t="s">
        <v>102</v>
      </c>
      <c r="Y393" s="186"/>
      <c r="Z393" s="95" t="s">
        <v>167</v>
      </c>
      <c r="AA393" s="47"/>
      <c r="AB393" s="47"/>
    </row>
    <row r="394" spans="1:28" ht="14.25" customHeight="1">
      <c r="A394" s="188" t="s">
        <v>228</v>
      </c>
      <c r="B394" s="188" t="s">
        <v>49</v>
      </c>
      <c r="C394" s="188" t="s">
        <v>229</v>
      </c>
      <c r="D394" s="188" t="s">
        <v>84</v>
      </c>
      <c r="E394" s="98">
        <v>5</v>
      </c>
      <c r="F394" s="98">
        <v>6</v>
      </c>
      <c r="G394" s="98">
        <v>5</v>
      </c>
      <c r="H394" s="98">
        <v>5</v>
      </c>
      <c r="I394" s="98">
        <v>5</v>
      </c>
      <c r="J394" s="98"/>
      <c r="K394" s="98"/>
      <c r="L394" s="98"/>
      <c r="M394" s="98"/>
      <c r="N394" s="98"/>
      <c r="O394" s="98">
        <f>Q384+1</f>
        <v>7</v>
      </c>
      <c r="P394" s="98"/>
      <c r="Q394" s="98">
        <f>O394+R394-1</f>
        <v>7</v>
      </c>
      <c r="R394" s="98">
        <v>1</v>
      </c>
      <c r="S394" s="98">
        <f>SUM(C394:L394)*R394</f>
        <v>26</v>
      </c>
      <c r="T394" s="98">
        <v>2.06</v>
      </c>
      <c r="U394" s="98">
        <v>1.08</v>
      </c>
      <c r="V394" s="98">
        <v>2.06</v>
      </c>
      <c r="W394" s="98">
        <v>1.08</v>
      </c>
      <c r="X394" s="98" t="s">
        <v>181</v>
      </c>
      <c r="Y394" s="98">
        <f>IF(X394="595X289X390",0.071,IF(X394="597X292X191",0.034,IF(X394="560X600X390",0.132,IF(X394="560X400X390",0.088))))*R394</f>
        <v>3.4000000000000002E-2</v>
      </c>
      <c r="Z394" s="98">
        <v>0</v>
      </c>
      <c r="AA394" s="47"/>
      <c r="AB394" s="47"/>
    </row>
    <row r="395" spans="1:28" ht="14.25" customHeight="1">
      <c r="A395" s="188"/>
      <c r="B395" s="188"/>
      <c r="C395" s="188"/>
      <c r="D395" s="18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47"/>
      <c r="AB395" s="47"/>
    </row>
    <row r="396" spans="1:28" ht="14.25" customHeight="1">
      <c r="A396" s="100"/>
      <c r="B396" s="100"/>
      <c r="C396" s="185" t="s">
        <v>61</v>
      </c>
      <c r="D396" s="185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2">
        <f t="shared" ref="R396:W396" si="37">SUM(R394:R395)</f>
        <v>1</v>
      </c>
      <c r="S396" s="102">
        <f t="shared" si="37"/>
        <v>26</v>
      </c>
      <c r="T396" s="93">
        <f t="shared" si="37"/>
        <v>2.06</v>
      </c>
      <c r="U396" s="93">
        <f t="shared" si="37"/>
        <v>1.08</v>
      </c>
      <c r="V396" s="93">
        <f t="shared" si="37"/>
        <v>2.06</v>
      </c>
      <c r="W396" s="93">
        <f t="shared" si="37"/>
        <v>1.08</v>
      </c>
      <c r="X396" s="93"/>
      <c r="Y396" s="93">
        <f>SUM(Y394:Y395)</f>
        <v>3.4000000000000002E-2</v>
      </c>
      <c r="Z396" s="93">
        <f>SUM(Z394:Z395)</f>
        <v>0</v>
      </c>
      <c r="AA396" s="47"/>
      <c r="AB396" s="47"/>
    </row>
    <row r="397" spans="1:28" ht="14.25" customHeight="1">
      <c r="A397" s="100"/>
      <c r="B397" s="100"/>
      <c r="C397" s="185" t="s">
        <v>170</v>
      </c>
      <c r="D397" s="185"/>
      <c r="E397" s="102">
        <v>5</v>
      </c>
      <c r="F397" s="102">
        <v>6</v>
      </c>
      <c r="G397" s="102">
        <v>5</v>
      </c>
      <c r="H397" s="102">
        <v>5</v>
      </c>
      <c r="I397" s="102">
        <v>5</v>
      </c>
      <c r="J397" s="102"/>
      <c r="K397" s="102"/>
      <c r="L397" s="102"/>
      <c r="M397" s="102"/>
      <c r="N397" s="102"/>
      <c r="O397" s="229">
        <f>SUM(E397:M397)</f>
        <v>26</v>
      </c>
      <c r="P397" s="102"/>
      <c r="Q397" s="102"/>
      <c r="R397" s="93"/>
      <c r="S397" s="93"/>
      <c r="T397" s="93"/>
      <c r="U397" s="93"/>
      <c r="V397" s="100"/>
      <c r="W397" s="93"/>
      <c r="X397" s="93"/>
      <c r="Y397" s="100"/>
      <c r="Z397" s="100"/>
      <c r="AA397" s="47"/>
      <c r="AB397" s="47"/>
    </row>
    <row r="398" spans="1:28" ht="14.25" customHeight="1">
      <c r="A398" s="100"/>
      <c r="B398" s="100"/>
      <c r="C398" s="185" t="s">
        <v>171</v>
      </c>
      <c r="D398" s="185"/>
      <c r="E398" s="102">
        <v>5</v>
      </c>
      <c r="F398" s="102">
        <v>6</v>
      </c>
      <c r="G398" s="102">
        <v>5</v>
      </c>
      <c r="H398" s="102">
        <v>5</v>
      </c>
      <c r="I398" s="102">
        <v>5</v>
      </c>
      <c r="J398" s="102"/>
      <c r="K398" s="102"/>
      <c r="L398" s="102"/>
      <c r="M398" s="102"/>
      <c r="N398" s="102"/>
      <c r="O398" s="229">
        <f>SUM(E398:M398)</f>
        <v>26</v>
      </c>
      <c r="P398" s="102"/>
      <c r="Q398" s="102"/>
      <c r="R398" s="93"/>
      <c r="S398" s="100"/>
      <c r="T398" s="100"/>
      <c r="U398" s="100"/>
      <c r="V398" s="100"/>
      <c r="W398" s="100"/>
      <c r="X398" s="93"/>
      <c r="Y398" s="100"/>
      <c r="Z398" s="100"/>
      <c r="AA398" s="47"/>
      <c r="AB398" s="47"/>
    </row>
    <row r="399" spans="1:28" ht="14.25" customHeight="1">
      <c r="A399" s="100"/>
      <c r="B399" s="100"/>
      <c r="C399" s="185" t="s">
        <v>172</v>
      </c>
      <c r="D399" s="185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47"/>
      <c r="AB399" s="47"/>
    </row>
    <row r="400" spans="1:28" ht="14.25" customHeight="1">
      <c r="A400" s="100"/>
      <c r="B400" s="100"/>
      <c r="C400" s="185" t="s">
        <v>173</v>
      </c>
      <c r="D400" s="185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93"/>
      <c r="S400" s="100"/>
      <c r="T400" s="100"/>
      <c r="U400" s="100"/>
      <c r="V400" s="100"/>
      <c r="W400" s="100"/>
      <c r="X400" s="93"/>
      <c r="Y400" s="100"/>
      <c r="Z400" s="100"/>
      <c r="AA400" s="47"/>
      <c r="AB400" s="47"/>
    </row>
    <row r="401" spans="1:28" ht="14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 spans="1:28" ht="14.25" customHeight="1">
      <c r="A402" s="186" t="s">
        <v>147</v>
      </c>
      <c r="B402" s="186" t="s">
        <v>148</v>
      </c>
      <c r="C402" s="189" t="s">
        <v>149</v>
      </c>
      <c r="D402" s="92" t="s">
        <v>150</v>
      </c>
      <c r="E402" s="190" t="s">
        <v>151</v>
      </c>
      <c r="F402" s="190"/>
      <c r="G402" s="190"/>
      <c r="H402" s="190"/>
      <c r="I402" s="190"/>
      <c r="J402" s="190"/>
      <c r="K402" s="190"/>
      <c r="L402" s="190"/>
      <c r="M402" s="190"/>
      <c r="N402" s="190"/>
      <c r="O402" s="230" t="s">
        <v>152</v>
      </c>
      <c r="P402" s="231"/>
      <c r="Q402" s="232"/>
      <c r="R402" s="92" t="s">
        <v>153</v>
      </c>
      <c r="S402" s="92" t="s">
        <v>153</v>
      </c>
      <c r="T402" s="92" t="s">
        <v>154</v>
      </c>
      <c r="U402" s="92" t="s">
        <v>155</v>
      </c>
      <c r="V402" s="92" t="s">
        <v>154</v>
      </c>
      <c r="W402" s="92" t="s">
        <v>155</v>
      </c>
      <c r="X402" s="92" t="s">
        <v>156</v>
      </c>
      <c r="Y402" s="186" t="s">
        <v>103</v>
      </c>
      <c r="Z402" s="92" t="s">
        <v>157</v>
      </c>
      <c r="AA402" s="47"/>
      <c r="AB402" s="47"/>
    </row>
    <row r="403" spans="1:28" ht="14.25" customHeight="1">
      <c r="A403" s="186"/>
      <c r="B403" s="186"/>
      <c r="C403" s="189"/>
      <c r="D403" s="95" t="s">
        <v>158</v>
      </c>
      <c r="E403" s="110" t="s">
        <v>174</v>
      </c>
      <c r="F403" s="110" t="s">
        <v>175</v>
      </c>
      <c r="G403" s="110" t="s">
        <v>177</v>
      </c>
      <c r="H403" s="110" t="s">
        <v>178</v>
      </c>
      <c r="I403" s="110" t="s">
        <v>178</v>
      </c>
      <c r="J403" s="93"/>
      <c r="K403" s="93"/>
      <c r="L403" s="93"/>
      <c r="M403" s="93"/>
      <c r="N403" s="93"/>
      <c r="O403" s="233"/>
      <c r="P403" s="234"/>
      <c r="Q403" s="235"/>
      <c r="R403" s="95" t="s">
        <v>164</v>
      </c>
      <c r="S403" s="95" t="s">
        <v>165</v>
      </c>
      <c r="T403" s="95" t="s">
        <v>156</v>
      </c>
      <c r="U403" s="95" t="s">
        <v>156</v>
      </c>
      <c r="V403" s="95" t="s">
        <v>166</v>
      </c>
      <c r="W403" s="95" t="s">
        <v>166</v>
      </c>
      <c r="X403" s="95" t="s">
        <v>102</v>
      </c>
      <c r="Y403" s="186"/>
      <c r="Z403" s="95" t="s">
        <v>167</v>
      </c>
      <c r="AA403" s="47"/>
      <c r="AB403" s="47"/>
    </row>
    <row r="404" spans="1:28" ht="14.25" customHeight="1">
      <c r="A404" s="188" t="s">
        <v>230</v>
      </c>
      <c r="B404" s="188" t="s">
        <v>43</v>
      </c>
      <c r="C404" s="188" t="s">
        <v>231</v>
      </c>
      <c r="D404" s="188" t="s">
        <v>86</v>
      </c>
      <c r="E404" s="98">
        <v>5</v>
      </c>
      <c r="F404" s="98">
        <v>5</v>
      </c>
      <c r="G404" s="98">
        <v>5</v>
      </c>
      <c r="H404" s="98">
        <v>5</v>
      </c>
      <c r="I404" s="98">
        <v>5</v>
      </c>
      <c r="J404" s="98"/>
      <c r="K404" s="98"/>
      <c r="L404" s="98"/>
      <c r="M404" s="98"/>
      <c r="N404" s="98"/>
      <c r="O404" s="98">
        <f>Q394+1</f>
        <v>8</v>
      </c>
      <c r="P404" s="98"/>
      <c r="Q404" s="98">
        <f>O404+R404-1</f>
        <v>8</v>
      </c>
      <c r="R404" s="98">
        <v>1</v>
      </c>
      <c r="S404" s="98">
        <f>SUM(C404:L404)*R404</f>
        <v>25</v>
      </c>
      <c r="T404" s="98">
        <v>2.2799999999999998</v>
      </c>
      <c r="U404" s="98">
        <v>1.3</v>
      </c>
      <c r="V404" s="98">
        <v>2.2799999999999998</v>
      </c>
      <c r="W404" s="98">
        <v>1.3</v>
      </c>
      <c r="X404" s="98" t="s">
        <v>181</v>
      </c>
      <c r="Y404" s="98">
        <f>IF(X404="595X289X390",0.071,IF(X404="597X292X191",0.034,IF(X404="560X600X390",0.132,IF(X404="560X400X390",0.088))))*R404</f>
        <v>3.4000000000000002E-2</v>
      </c>
      <c r="Z404" s="98">
        <v>0</v>
      </c>
      <c r="AA404" s="47"/>
      <c r="AB404" s="47"/>
    </row>
    <row r="405" spans="1:28" ht="14.25" customHeight="1">
      <c r="A405" s="188"/>
      <c r="B405" s="188"/>
      <c r="C405" s="188"/>
      <c r="D405" s="18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47"/>
      <c r="AB405" s="47"/>
    </row>
    <row r="406" spans="1:28" ht="14.25" customHeight="1">
      <c r="A406" s="100"/>
      <c r="B406" s="100"/>
      <c r="C406" s="185" t="s">
        <v>61</v>
      </c>
      <c r="D406" s="185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2">
        <f t="shared" ref="R406:W406" si="38">SUM(R404:R405)</f>
        <v>1</v>
      </c>
      <c r="S406" s="102">
        <f t="shared" si="38"/>
        <v>25</v>
      </c>
      <c r="T406" s="93">
        <f t="shared" si="38"/>
        <v>2.2799999999999998</v>
      </c>
      <c r="U406" s="93">
        <f t="shared" si="38"/>
        <v>1.3</v>
      </c>
      <c r="V406" s="93">
        <f t="shared" si="38"/>
        <v>2.2799999999999998</v>
      </c>
      <c r="W406" s="93">
        <f t="shared" si="38"/>
        <v>1.3</v>
      </c>
      <c r="X406" s="93"/>
      <c r="Y406" s="93">
        <f>SUM(Y404:Y405)</f>
        <v>3.4000000000000002E-2</v>
      </c>
      <c r="Z406" s="93">
        <f>SUM(Z404:Z405)</f>
        <v>0</v>
      </c>
      <c r="AA406" s="47"/>
      <c r="AB406" s="47"/>
    </row>
    <row r="407" spans="1:28" ht="14.25" customHeight="1">
      <c r="A407" s="100"/>
      <c r="B407" s="100"/>
      <c r="C407" s="185" t="s">
        <v>170</v>
      </c>
      <c r="D407" s="185"/>
      <c r="E407" s="102">
        <v>5</v>
      </c>
      <c r="F407" s="102">
        <v>5</v>
      </c>
      <c r="G407" s="102">
        <v>5</v>
      </c>
      <c r="H407" s="102">
        <v>5</v>
      </c>
      <c r="I407" s="102">
        <v>5</v>
      </c>
      <c r="J407" s="102"/>
      <c r="K407" s="102"/>
      <c r="L407" s="102"/>
      <c r="M407" s="102"/>
      <c r="N407" s="102"/>
      <c r="O407" s="102">
        <v>25</v>
      </c>
      <c r="P407" s="102"/>
      <c r="Q407" s="102"/>
      <c r="R407" s="100"/>
      <c r="S407" s="100"/>
      <c r="T407" s="100"/>
      <c r="U407" s="100"/>
      <c r="V407" s="100"/>
      <c r="W407" s="100"/>
      <c r="X407" s="100"/>
      <c r="Y407" s="100"/>
      <c r="Z407" s="100"/>
      <c r="AA407" s="47"/>
      <c r="AB407" s="47"/>
    </row>
    <row r="408" spans="1:28" ht="14.25" customHeight="1">
      <c r="A408" s="100"/>
      <c r="B408" s="100"/>
      <c r="C408" s="185" t="s">
        <v>171</v>
      </c>
      <c r="D408" s="185"/>
      <c r="E408" s="102">
        <v>5</v>
      </c>
      <c r="F408" s="102">
        <v>5</v>
      </c>
      <c r="G408" s="102">
        <v>5</v>
      </c>
      <c r="H408" s="102">
        <v>5</v>
      </c>
      <c r="I408" s="102">
        <v>5</v>
      </c>
      <c r="J408" s="102"/>
      <c r="K408" s="102"/>
      <c r="L408" s="102"/>
      <c r="M408" s="102"/>
      <c r="N408" s="102"/>
      <c r="O408" s="102">
        <v>25</v>
      </c>
      <c r="P408" s="102"/>
      <c r="Q408" s="102"/>
      <c r="R408" s="93"/>
      <c r="S408" s="100"/>
      <c r="T408" s="100"/>
      <c r="U408" s="100"/>
      <c r="V408" s="100"/>
      <c r="W408" s="100"/>
      <c r="X408" s="100"/>
      <c r="Y408" s="100"/>
      <c r="Z408" s="100"/>
      <c r="AA408" s="47"/>
      <c r="AB408" s="47"/>
    </row>
    <row r="409" spans="1:28" ht="14.25" customHeight="1">
      <c r="A409" s="100"/>
      <c r="B409" s="100"/>
      <c r="C409" s="185" t="s">
        <v>172</v>
      </c>
      <c r="D409" s="185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47"/>
      <c r="AB409" s="47"/>
    </row>
    <row r="410" spans="1:28" ht="14.25" customHeight="1">
      <c r="A410" s="100"/>
      <c r="B410" s="100"/>
      <c r="C410" s="185" t="s">
        <v>173</v>
      </c>
      <c r="D410" s="185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3"/>
      <c r="P410" s="103"/>
      <c r="Q410" s="103"/>
      <c r="R410" s="100"/>
      <c r="S410" s="100"/>
      <c r="T410" s="100"/>
      <c r="U410" s="100"/>
      <c r="V410" s="100"/>
      <c r="W410" s="100"/>
      <c r="X410" s="100"/>
      <c r="Y410" s="100"/>
      <c r="Z410" s="100"/>
      <c r="AA410" s="47"/>
      <c r="AB410" s="47"/>
    </row>
    <row r="411" spans="1:28" ht="14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 spans="1:28" ht="14.25" customHeight="1">
      <c r="A412" s="186" t="s">
        <v>147</v>
      </c>
      <c r="B412" s="186" t="s">
        <v>148</v>
      </c>
      <c r="C412" s="189" t="s">
        <v>149</v>
      </c>
      <c r="D412" s="92" t="s">
        <v>150</v>
      </c>
      <c r="E412" s="190" t="s">
        <v>151</v>
      </c>
      <c r="F412" s="190"/>
      <c r="G412" s="190"/>
      <c r="H412" s="190"/>
      <c r="I412" s="190"/>
      <c r="J412" s="190"/>
      <c r="K412" s="190"/>
      <c r="L412" s="190"/>
      <c r="M412" s="190"/>
      <c r="N412" s="190"/>
      <c r="O412" s="230" t="s">
        <v>152</v>
      </c>
      <c r="P412" s="231"/>
      <c r="Q412" s="232"/>
      <c r="R412" s="92" t="s">
        <v>153</v>
      </c>
      <c r="S412" s="92" t="s">
        <v>153</v>
      </c>
      <c r="T412" s="92" t="s">
        <v>154</v>
      </c>
      <c r="U412" s="92" t="s">
        <v>155</v>
      </c>
      <c r="V412" s="92" t="s">
        <v>154</v>
      </c>
      <c r="W412" s="92" t="s">
        <v>155</v>
      </c>
      <c r="X412" s="92" t="s">
        <v>156</v>
      </c>
      <c r="Y412" s="186" t="s">
        <v>103</v>
      </c>
      <c r="Z412" s="92" t="s">
        <v>157</v>
      </c>
      <c r="AA412" s="47"/>
      <c r="AB412" s="47"/>
    </row>
    <row r="413" spans="1:28" ht="14.25" customHeight="1">
      <c r="A413" s="186"/>
      <c r="B413" s="186"/>
      <c r="C413" s="189"/>
      <c r="D413" s="95" t="s">
        <v>158</v>
      </c>
      <c r="E413" s="110" t="s">
        <v>183</v>
      </c>
      <c r="F413" s="110" t="s">
        <v>184</v>
      </c>
      <c r="G413" s="110" t="s">
        <v>185</v>
      </c>
      <c r="H413" s="110" t="s">
        <v>186</v>
      </c>
      <c r="I413" s="110" t="s">
        <v>187</v>
      </c>
      <c r="J413" s="93"/>
      <c r="K413" s="93"/>
      <c r="L413" s="93"/>
      <c r="M413" s="93"/>
      <c r="N413" s="93"/>
      <c r="O413" s="233"/>
      <c r="P413" s="234"/>
      <c r="Q413" s="235"/>
      <c r="R413" s="95" t="s">
        <v>164</v>
      </c>
      <c r="S413" s="95" t="s">
        <v>165</v>
      </c>
      <c r="T413" s="95" t="s">
        <v>156</v>
      </c>
      <c r="U413" s="95" t="s">
        <v>156</v>
      </c>
      <c r="V413" s="95" t="s">
        <v>166</v>
      </c>
      <c r="W413" s="95" t="s">
        <v>166</v>
      </c>
      <c r="X413" s="95" t="s">
        <v>102</v>
      </c>
      <c r="Y413" s="186"/>
      <c r="Z413" s="95" t="s">
        <v>167</v>
      </c>
      <c r="AA413" s="47"/>
      <c r="AB413" s="47"/>
    </row>
    <row r="414" spans="1:28" ht="14.25" customHeight="1">
      <c r="A414" s="188" t="s">
        <v>232</v>
      </c>
      <c r="B414" s="188" t="s">
        <v>43</v>
      </c>
      <c r="C414" s="188" t="s">
        <v>233</v>
      </c>
      <c r="D414" s="188" t="s">
        <v>89</v>
      </c>
      <c r="E414" s="98">
        <v>5</v>
      </c>
      <c r="F414" s="98">
        <v>6</v>
      </c>
      <c r="G414" s="98">
        <v>5</v>
      </c>
      <c r="H414" s="98">
        <v>5</v>
      </c>
      <c r="I414" s="98">
        <v>5</v>
      </c>
      <c r="J414" s="98"/>
      <c r="K414" s="98"/>
      <c r="L414" s="98"/>
      <c r="M414" s="98"/>
      <c r="N414" s="98"/>
      <c r="O414" s="98">
        <f>Q404+1</f>
        <v>9</v>
      </c>
      <c r="P414" s="98"/>
      <c r="Q414" s="98">
        <f>O414+R414-1</f>
        <v>9</v>
      </c>
      <c r="R414" s="98">
        <v>1</v>
      </c>
      <c r="S414" s="98">
        <f>SUM(C414:L414)*R414</f>
        <v>26</v>
      </c>
      <c r="T414" s="98">
        <v>2.06</v>
      </c>
      <c r="U414" s="98">
        <v>1.08</v>
      </c>
      <c r="V414" s="98">
        <v>2.06</v>
      </c>
      <c r="W414" s="98">
        <v>1.08</v>
      </c>
      <c r="X414" s="98" t="s">
        <v>181</v>
      </c>
      <c r="Y414" s="98">
        <f>IF(X414="595X289X390",0.071,IF(X414="597X292X191",0.034,IF(X414="560X600X390",0.132,IF(X414="560X400X390",0.088))))*R414</f>
        <v>3.4000000000000002E-2</v>
      </c>
      <c r="Z414" s="98">
        <v>0</v>
      </c>
      <c r="AA414" s="47"/>
      <c r="AB414" s="47"/>
    </row>
    <row r="415" spans="1:28" ht="14.25" customHeight="1">
      <c r="A415" s="188"/>
      <c r="B415" s="188"/>
      <c r="C415" s="188"/>
      <c r="D415" s="18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47"/>
      <c r="AB415" s="47"/>
    </row>
    <row r="416" spans="1:28" ht="14.25" customHeight="1">
      <c r="A416" s="100"/>
      <c r="B416" s="100"/>
      <c r="C416" s="185" t="s">
        <v>61</v>
      </c>
      <c r="D416" s="185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2">
        <f t="shared" ref="R416:W416" si="39">SUM(R414:R415)</f>
        <v>1</v>
      </c>
      <c r="S416" s="102">
        <f t="shared" si="39"/>
        <v>26</v>
      </c>
      <c r="T416" s="93">
        <f t="shared" si="39"/>
        <v>2.06</v>
      </c>
      <c r="U416" s="93">
        <f t="shared" si="39"/>
        <v>1.08</v>
      </c>
      <c r="V416" s="93">
        <f t="shared" si="39"/>
        <v>2.06</v>
      </c>
      <c r="W416" s="93">
        <f t="shared" si="39"/>
        <v>1.08</v>
      </c>
      <c r="X416" s="93"/>
      <c r="Y416" s="93">
        <f>SUM(Y414:Y415)</f>
        <v>3.4000000000000002E-2</v>
      </c>
      <c r="Z416" s="93">
        <f>SUM(Z414:Z415)</f>
        <v>0</v>
      </c>
      <c r="AA416" s="47"/>
      <c r="AB416" s="47"/>
    </row>
    <row r="417" spans="1:28" ht="14.25" customHeight="1">
      <c r="A417" s="100"/>
      <c r="B417" s="100"/>
      <c r="C417" s="185" t="s">
        <v>170</v>
      </c>
      <c r="D417" s="185"/>
      <c r="E417" s="102">
        <v>5</v>
      </c>
      <c r="F417" s="102">
        <v>6</v>
      </c>
      <c r="G417" s="102">
        <v>5</v>
      </c>
      <c r="H417" s="102">
        <v>5</v>
      </c>
      <c r="I417" s="102">
        <v>5</v>
      </c>
      <c r="J417" s="102"/>
      <c r="K417" s="102"/>
      <c r="L417" s="102"/>
      <c r="M417" s="102"/>
      <c r="N417" s="102"/>
      <c r="O417" s="229">
        <f>SUM(E417:M417)</f>
        <v>26</v>
      </c>
      <c r="P417" s="102"/>
      <c r="Q417" s="102"/>
      <c r="R417" s="93"/>
      <c r="S417" s="93"/>
      <c r="T417" s="93"/>
      <c r="U417" s="93"/>
      <c r="V417" s="100"/>
      <c r="W417" s="93"/>
      <c r="X417" s="93"/>
      <c r="Y417" s="100"/>
      <c r="Z417" s="100"/>
      <c r="AA417" s="47"/>
      <c r="AB417" s="47"/>
    </row>
    <row r="418" spans="1:28" ht="14.25" customHeight="1">
      <c r="A418" s="100"/>
      <c r="B418" s="100"/>
      <c r="C418" s="185" t="s">
        <v>171</v>
      </c>
      <c r="D418" s="185"/>
      <c r="E418" s="102">
        <v>5</v>
      </c>
      <c r="F418" s="102">
        <v>6</v>
      </c>
      <c r="G418" s="102">
        <v>5</v>
      </c>
      <c r="H418" s="102">
        <v>5</v>
      </c>
      <c r="I418" s="102">
        <v>5</v>
      </c>
      <c r="J418" s="102"/>
      <c r="K418" s="102"/>
      <c r="L418" s="102"/>
      <c r="M418" s="102"/>
      <c r="N418" s="102"/>
      <c r="O418" s="229">
        <f>SUM(E418:M418)</f>
        <v>26</v>
      </c>
      <c r="P418" s="102"/>
      <c r="Q418" s="102"/>
      <c r="R418" s="93"/>
      <c r="S418" s="100"/>
      <c r="T418" s="100"/>
      <c r="U418" s="100"/>
      <c r="V418" s="100"/>
      <c r="W418" s="100"/>
      <c r="X418" s="93"/>
      <c r="Y418" s="100"/>
      <c r="Z418" s="100"/>
      <c r="AA418" s="47"/>
      <c r="AB418" s="47"/>
    </row>
    <row r="419" spans="1:28" ht="14.25" customHeight="1">
      <c r="A419" s="100"/>
      <c r="B419" s="100"/>
      <c r="C419" s="185" t="s">
        <v>172</v>
      </c>
      <c r="D419" s="185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47"/>
      <c r="AB419" s="47"/>
    </row>
    <row r="420" spans="1:28" ht="14.25" customHeight="1">
      <c r="A420" s="100"/>
      <c r="B420" s="100"/>
      <c r="C420" s="185" t="s">
        <v>173</v>
      </c>
      <c r="D420" s="185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>
        <f>R336+R346+R356+R366+R376+R386+R396+R406+R416</f>
        <v>9</v>
      </c>
      <c r="S420" s="102">
        <f>S336+S346+S356+S366+S376+S386+S396+S406+S416</f>
        <v>229</v>
      </c>
      <c r="T420" s="101"/>
      <c r="U420" s="101"/>
      <c r="V420" s="104">
        <f>V336+V346+V356+V366+V376+V386+V396+V406+V416</f>
        <v>35.768000000000001</v>
      </c>
      <c r="W420" s="104">
        <f>W336+W346+W356+W366+W376+W386+W396+W406+W416</f>
        <v>26.128000000000007</v>
      </c>
      <c r="X420" s="104"/>
      <c r="Y420" s="104">
        <f>Y336+Y346+Y356+Y366+Y376+Y386+Y396+Y406+Y416</f>
        <v>0.3600000000000001</v>
      </c>
      <c r="Z420" s="101">
        <f>Z366+Z376+Z386+Z396+Z406+Z416</f>
        <v>0</v>
      </c>
      <c r="AA420" s="47"/>
      <c r="AB420" s="47"/>
    </row>
    <row r="423" spans="1:28" ht="14.25" customHeight="1">
      <c r="C423" s="186" t="s">
        <v>96</v>
      </c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14"/>
      <c r="Q423" s="114"/>
      <c r="R423" s="93" t="s">
        <v>153</v>
      </c>
      <c r="S423" s="93" t="s">
        <v>153</v>
      </c>
      <c r="T423" s="93" t="s">
        <v>154</v>
      </c>
      <c r="U423" s="93" t="s">
        <v>155</v>
      </c>
      <c r="V423" s="93" t="s">
        <v>154</v>
      </c>
      <c r="W423" s="93" t="s">
        <v>155</v>
      </c>
      <c r="X423" s="93" t="s">
        <v>156</v>
      </c>
      <c r="Y423" s="186" t="s">
        <v>103</v>
      </c>
      <c r="Z423" s="93" t="s">
        <v>157</v>
      </c>
    </row>
    <row r="424" spans="1:28" ht="14.25" customHeight="1"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14"/>
      <c r="Q424" s="114"/>
      <c r="R424" s="93" t="s">
        <v>164</v>
      </c>
      <c r="S424" s="93" t="s">
        <v>165</v>
      </c>
      <c r="T424" s="93" t="s">
        <v>156</v>
      </c>
      <c r="U424" s="93" t="s">
        <v>156</v>
      </c>
      <c r="V424" s="93" t="s">
        <v>166</v>
      </c>
      <c r="W424" s="93" t="s">
        <v>166</v>
      </c>
      <c r="X424" s="93" t="s">
        <v>102</v>
      </c>
      <c r="Y424" s="186"/>
      <c r="Z424" s="93" t="s">
        <v>167</v>
      </c>
    </row>
    <row r="425" spans="1:28" ht="14.25" customHeight="1"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14"/>
      <c r="Q425" s="114"/>
      <c r="R425" s="102">
        <f>R151+R204+R319+R420</f>
        <v>116</v>
      </c>
      <c r="S425" s="102">
        <f>S151+S204+S319+S420</f>
        <v>3711</v>
      </c>
      <c r="T425" s="93">
        <v>0</v>
      </c>
      <c r="U425" s="93">
        <v>0</v>
      </c>
      <c r="V425" s="121">
        <f>V151+V204+V319+V420</f>
        <v>1194.6779999999999</v>
      </c>
      <c r="W425" s="121">
        <f>W151+W204+W319+W420</f>
        <v>1033.3579999999999</v>
      </c>
      <c r="X425" s="104"/>
      <c r="Y425" s="104">
        <f>Y151+Y204+Y319+Y420</f>
        <v>6.0500000000000007</v>
      </c>
      <c r="Z425" s="101">
        <f>Z67+Z87+Z156+Z183+Z301+Z404</f>
        <v>0</v>
      </c>
    </row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474">
    <mergeCell ref="C4:T4"/>
    <mergeCell ref="R6:S6"/>
    <mergeCell ref="A7:B16"/>
    <mergeCell ref="C7:H16"/>
    <mergeCell ref="R8:S8"/>
    <mergeCell ref="R9:S9"/>
    <mergeCell ref="R10:Y10"/>
    <mergeCell ref="R11:S11"/>
    <mergeCell ref="R12:Z12"/>
    <mergeCell ref="R13:Z13"/>
    <mergeCell ref="R14:Z14"/>
    <mergeCell ref="R15:Z15"/>
    <mergeCell ref="A20:H26"/>
    <mergeCell ref="I20:Z22"/>
    <mergeCell ref="A27:A28"/>
    <mergeCell ref="B27:B28"/>
    <mergeCell ref="C27:C28"/>
    <mergeCell ref="E27:N27"/>
    <mergeCell ref="O27:Q28"/>
    <mergeCell ref="Y27:Y28"/>
    <mergeCell ref="A29:A32"/>
    <mergeCell ref="B29:B32"/>
    <mergeCell ref="C29:C32"/>
    <mergeCell ref="D29:D32"/>
    <mergeCell ref="C33:D33"/>
    <mergeCell ref="C34:D34"/>
    <mergeCell ref="C35:D35"/>
    <mergeCell ref="C36:D36"/>
    <mergeCell ref="C37:D37"/>
    <mergeCell ref="A39:A40"/>
    <mergeCell ref="B39:B40"/>
    <mergeCell ref="C39:C40"/>
    <mergeCell ref="E39:N39"/>
    <mergeCell ref="O39:Q40"/>
    <mergeCell ref="Y39:Y40"/>
    <mergeCell ref="A41:A42"/>
    <mergeCell ref="B41:B42"/>
    <mergeCell ref="C41:C42"/>
    <mergeCell ref="D41:D42"/>
    <mergeCell ref="C43:D43"/>
    <mergeCell ref="C44:D44"/>
    <mergeCell ref="C45:D45"/>
    <mergeCell ref="C46:D46"/>
    <mergeCell ref="C47:D47"/>
    <mergeCell ref="A49:A50"/>
    <mergeCell ref="B49:B50"/>
    <mergeCell ref="C49:C50"/>
    <mergeCell ref="E49:N49"/>
    <mergeCell ref="O49:Q50"/>
    <mergeCell ref="Y49:Y50"/>
    <mergeCell ref="A51:A56"/>
    <mergeCell ref="B51:B56"/>
    <mergeCell ref="C51:C56"/>
    <mergeCell ref="D51:D56"/>
    <mergeCell ref="C57:D57"/>
    <mergeCell ref="C58:D58"/>
    <mergeCell ref="C59:D59"/>
    <mergeCell ref="C60:D60"/>
    <mergeCell ref="C61:D61"/>
    <mergeCell ref="A63:A64"/>
    <mergeCell ref="B63:B64"/>
    <mergeCell ref="C63:C64"/>
    <mergeCell ref="E63:N63"/>
    <mergeCell ref="O63:Q64"/>
    <mergeCell ref="Y63:Y64"/>
    <mergeCell ref="A65:A69"/>
    <mergeCell ref="B65:B69"/>
    <mergeCell ref="C65:C69"/>
    <mergeCell ref="D65:D69"/>
    <mergeCell ref="C70:D70"/>
    <mergeCell ref="C71:D71"/>
    <mergeCell ref="C72:D72"/>
    <mergeCell ref="C73:D73"/>
    <mergeCell ref="C74:D74"/>
    <mergeCell ref="A76:A77"/>
    <mergeCell ref="B76:B77"/>
    <mergeCell ref="C76:C77"/>
    <mergeCell ref="E76:N76"/>
    <mergeCell ref="O76:Q77"/>
    <mergeCell ref="Y76:Y77"/>
    <mergeCell ref="A78:A83"/>
    <mergeCell ref="B78:B83"/>
    <mergeCell ref="C78:C83"/>
    <mergeCell ref="D78:D83"/>
    <mergeCell ref="C84:D84"/>
    <mergeCell ref="C85:D85"/>
    <mergeCell ref="C86:D86"/>
    <mergeCell ref="C87:D87"/>
    <mergeCell ref="C88:D88"/>
    <mergeCell ref="A90:A91"/>
    <mergeCell ref="B90:B91"/>
    <mergeCell ref="C90:C91"/>
    <mergeCell ref="E90:N90"/>
    <mergeCell ref="O90:Q91"/>
    <mergeCell ref="Y90:Y91"/>
    <mergeCell ref="A92:A102"/>
    <mergeCell ref="B92:B102"/>
    <mergeCell ref="C92:C102"/>
    <mergeCell ref="D92:D102"/>
    <mergeCell ref="C103:D103"/>
    <mergeCell ref="C104:D104"/>
    <mergeCell ref="C105:D105"/>
    <mergeCell ref="C106:D106"/>
    <mergeCell ref="C107:D107"/>
    <mergeCell ref="A109:A110"/>
    <mergeCell ref="B109:B110"/>
    <mergeCell ref="C109:C110"/>
    <mergeCell ref="E109:N109"/>
    <mergeCell ref="O109:Q110"/>
    <mergeCell ref="Y109:Y110"/>
    <mergeCell ref="A111:A119"/>
    <mergeCell ref="B111:B119"/>
    <mergeCell ref="C111:C119"/>
    <mergeCell ref="D111:D119"/>
    <mergeCell ref="C120:D120"/>
    <mergeCell ref="C121:D121"/>
    <mergeCell ref="C122:D122"/>
    <mergeCell ref="C123:D123"/>
    <mergeCell ref="C124:D124"/>
    <mergeCell ref="A126:A127"/>
    <mergeCell ref="B126:B127"/>
    <mergeCell ref="C126:C127"/>
    <mergeCell ref="E126:N126"/>
    <mergeCell ref="O126:O127"/>
    <mergeCell ref="Y126:Y127"/>
    <mergeCell ref="A128:A130"/>
    <mergeCell ref="B128:B130"/>
    <mergeCell ref="C128:C130"/>
    <mergeCell ref="D128:D130"/>
    <mergeCell ref="C131:D131"/>
    <mergeCell ref="C132:D132"/>
    <mergeCell ref="C133:D133"/>
    <mergeCell ref="C134:D134"/>
    <mergeCell ref="C135:D135"/>
    <mergeCell ref="A137:A138"/>
    <mergeCell ref="B137:B138"/>
    <mergeCell ref="C137:C138"/>
    <mergeCell ref="E137:N137"/>
    <mergeCell ref="O137:O138"/>
    <mergeCell ref="Y137:Y138"/>
    <mergeCell ref="A139:A146"/>
    <mergeCell ref="B139:B146"/>
    <mergeCell ref="C139:C146"/>
    <mergeCell ref="D139:D146"/>
    <mergeCell ref="C147:D147"/>
    <mergeCell ref="C148:D148"/>
    <mergeCell ref="C149:D149"/>
    <mergeCell ref="C150:D150"/>
    <mergeCell ref="C151:D151"/>
    <mergeCell ref="T155:W155"/>
    <mergeCell ref="T156:W156"/>
    <mergeCell ref="A157:H161"/>
    <mergeCell ref="I157:Z159"/>
    <mergeCell ref="A162:A163"/>
    <mergeCell ref="B162:B163"/>
    <mergeCell ref="C162:C163"/>
    <mergeCell ref="E162:N162"/>
    <mergeCell ref="O162:Q163"/>
    <mergeCell ref="Y162:Y163"/>
    <mergeCell ref="A164:A169"/>
    <mergeCell ref="B164:B169"/>
    <mergeCell ref="C164:C169"/>
    <mergeCell ref="D164:D169"/>
    <mergeCell ref="C170:D170"/>
    <mergeCell ref="C171:D171"/>
    <mergeCell ref="C172:D172"/>
    <mergeCell ref="C173:D173"/>
    <mergeCell ref="C174:D174"/>
    <mergeCell ref="A176:A177"/>
    <mergeCell ref="B176:B177"/>
    <mergeCell ref="C176:C177"/>
    <mergeCell ref="E176:N176"/>
    <mergeCell ref="O176:Q177"/>
    <mergeCell ref="Y176:Y177"/>
    <mergeCell ref="A178:A189"/>
    <mergeCell ref="B178:B189"/>
    <mergeCell ref="C178:C189"/>
    <mergeCell ref="D178:D189"/>
    <mergeCell ref="C190:D190"/>
    <mergeCell ref="C191:D191"/>
    <mergeCell ref="C192:D192"/>
    <mergeCell ref="C193:D193"/>
    <mergeCell ref="C194:D194"/>
    <mergeCell ref="A196:A197"/>
    <mergeCell ref="B196:B197"/>
    <mergeCell ref="C196:C197"/>
    <mergeCell ref="E196:N196"/>
    <mergeCell ref="O196:O197"/>
    <mergeCell ref="Y196:Y197"/>
    <mergeCell ref="A198:A199"/>
    <mergeCell ref="B198:B199"/>
    <mergeCell ref="C198:C199"/>
    <mergeCell ref="D198:D199"/>
    <mergeCell ref="C200:D200"/>
    <mergeCell ref="C201:D201"/>
    <mergeCell ref="C202:D202"/>
    <mergeCell ref="C203:D203"/>
    <mergeCell ref="C204:D204"/>
    <mergeCell ref="T206:W206"/>
    <mergeCell ref="T207:W207"/>
    <mergeCell ref="A209:H213"/>
    <mergeCell ref="I209:Z211"/>
    <mergeCell ref="A214:A215"/>
    <mergeCell ref="B214:B215"/>
    <mergeCell ref="C214:C215"/>
    <mergeCell ref="E214:N214"/>
    <mergeCell ref="O214:Q215"/>
    <mergeCell ref="Y214:Y215"/>
    <mergeCell ref="C217:D217"/>
    <mergeCell ref="C218:D218"/>
    <mergeCell ref="C219:D219"/>
    <mergeCell ref="C220:D220"/>
    <mergeCell ref="C221:D221"/>
    <mergeCell ref="A223:A224"/>
    <mergeCell ref="B223:B224"/>
    <mergeCell ref="C223:C224"/>
    <mergeCell ref="E223:N223"/>
    <mergeCell ref="O223:Q224"/>
    <mergeCell ref="Y223:Y224"/>
    <mergeCell ref="A225:A227"/>
    <mergeCell ref="B225:B227"/>
    <mergeCell ref="C225:C227"/>
    <mergeCell ref="D225:D227"/>
    <mergeCell ref="C228:D228"/>
    <mergeCell ref="C229:D229"/>
    <mergeCell ref="C230:D230"/>
    <mergeCell ref="C231:D231"/>
    <mergeCell ref="C232:D232"/>
    <mergeCell ref="A234:A235"/>
    <mergeCell ref="B234:B235"/>
    <mergeCell ref="C234:C235"/>
    <mergeCell ref="E234:N234"/>
    <mergeCell ref="O234:Q235"/>
    <mergeCell ref="Y234:Y235"/>
    <mergeCell ref="A236:A237"/>
    <mergeCell ref="B236:B237"/>
    <mergeCell ref="C236:C237"/>
    <mergeCell ref="D236:D237"/>
    <mergeCell ref="C238:D238"/>
    <mergeCell ref="C239:D239"/>
    <mergeCell ref="C240:D240"/>
    <mergeCell ref="C241:D241"/>
    <mergeCell ref="C242:D242"/>
    <mergeCell ref="A244:A245"/>
    <mergeCell ref="B244:B245"/>
    <mergeCell ref="C244:C245"/>
    <mergeCell ref="E244:N244"/>
    <mergeCell ref="O244:Q245"/>
    <mergeCell ref="Y244:Y245"/>
    <mergeCell ref="A246:A249"/>
    <mergeCell ref="B246:B249"/>
    <mergeCell ref="C246:C249"/>
    <mergeCell ref="D246:D249"/>
    <mergeCell ref="C250:D250"/>
    <mergeCell ref="C251:D251"/>
    <mergeCell ref="C252:D252"/>
    <mergeCell ref="C253:D253"/>
    <mergeCell ref="C254:D254"/>
    <mergeCell ref="A256:A257"/>
    <mergeCell ref="B256:B257"/>
    <mergeCell ref="C256:C257"/>
    <mergeCell ref="E256:N256"/>
    <mergeCell ref="O256:Q257"/>
    <mergeCell ref="Y256:Y257"/>
    <mergeCell ref="A258:A261"/>
    <mergeCell ref="B258:B261"/>
    <mergeCell ref="C258:C261"/>
    <mergeCell ref="D258:D261"/>
    <mergeCell ref="C262:D262"/>
    <mergeCell ref="C263:D263"/>
    <mergeCell ref="C264:D264"/>
    <mergeCell ref="C265:D265"/>
    <mergeCell ref="C266:D266"/>
    <mergeCell ref="A268:A269"/>
    <mergeCell ref="B268:B269"/>
    <mergeCell ref="C268:C269"/>
    <mergeCell ref="E268:N268"/>
    <mergeCell ref="O268:Q269"/>
    <mergeCell ref="Y268:Y269"/>
    <mergeCell ref="A270:A274"/>
    <mergeCell ref="B270:B274"/>
    <mergeCell ref="C270:C274"/>
    <mergeCell ref="D270:D274"/>
    <mergeCell ref="C275:D275"/>
    <mergeCell ref="C276:D276"/>
    <mergeCell ref="C277:D277"/>
    <mergeCell ref="C278:D278"/>
    <mergeCell ref="C279:D279"/>
    <mergeCell ref="A281:A282"/>
    <mergeCell ref="B281:B282"/>
    <mergeCell ref="C281:C282"/>
    <mergeCell ref="E281:N281"/>
    <mergeCell ref="O281:Q282"/>
    <mergeCell ref="Y281:Y282"/>
    <mergeCell ref="A283:A287"/>
    <mergeCell ref="B283:B287"/>
    <mergeCell ref="C283:C287"/>
    <mergeCell ref="D283:D287"/>
    <mergeCell ref="C288:D288"/>
    <mergeCell ref="C289:D289"/>
    <mergeCell ref="C290:D290"/>
    <mergeCell ref="C291:D291"/>
    <mergeCell ref="C292:D292"/>
    <mergeCell ref="A294:A295"/>
    <mergeCell ref="B294:B295"/>
    <mergeCell ref="C294:C295"/>
    <mergeCell ref="E294:N294"/>
    <mergeCell ref="O294:Q295"/>
    <mergeCell ref="Y294:Y295"/>
    <mergeCell ref="A296:A301"/>
    <mergeCell ref="B296:B301"/>
    <mergeCell ref="C296:C301"/>
    <mergeCell ref="D296:D301"/>
    <mergeCell ref="C302:D302"/>
    <mergeCell ref="C303:D303"/>
    <mergeCell ref="C304:D304"/>
    <mergeCell ref="C305:D305"/>
    <mergeCell ref="C306:D306"/>
    <mergeCell ref="A308:A309"/>
    <mergeCell ref="B308:B309"/>
    <mergeCell ref="C308:C309"/>
    <mergeCell ref="E308:N308"/>
    <mergeCell ref="O308:Q309"/>
    <mergeCell ref="Y308:Y309"/>
    <mergeCell ref="A310:A314"/>
    <mergeCell ref="B310:B314"/>
    <mergeCell ref="C310:C314"/>
    <mergeCell ref="D310:D314"/>
    <mergeCell ref="C315:D315"/>
    <mergeCell ref="C316:D316"/>
    <mergeCell ref="C317:D317"/>
    <mergeCell ref="C318:D318"/>
    <mergeCell ref="C319:D319"/>
    <mergeCell ref="T324:W324"/>
    <mergeCell ref="T325:W325"/>
    <mergeCell ref="A327:H331"/>
    <mergeCell ref="I327:Z329"/>
    <mergeCell ref="A332:A333"/>
    <mergeCell ref="B332:B333"/>
    <mergeCell ref="C332:C333"/>
    <mergeCell ref="E332:N332"/>
    <mergeCell ref="O332:Q333"/>
    <mergeCell ref="Y332:Y333"/>
    <mergeCell ref="A334:A335"/>
    <mergeCell ref="B334:B335"/>
    <mergeCell ref="C334:C335"/>
    <mergeCell ref="D334:D335"/>
    <mergeCell ref="C336:D336"/>
    <mergeCell ref="C337:D337"/>
    <mergeCell ref="C338:D338"/>
    <mergeCell ref="C339:D339"/>
    <mergeCell ref="C340:D340"/>
    <mergeCell ref="A342:A343"/>
    <mergeCell ref="B342:B343"/>
    <mergeCell ref="C342:C343"/>
    <mergeCell ref="E342:N342"/>
    <mergeCell ref="Y342:Y343"/>
    <mergeCell ref="A344:A345"/>
    <mergeCell ref="B344:B345"/>
    <mergeCell ref="C344:C345"/>
    <mergeCell ref="D344:D345"/>
    <mergeCell ref="O342:Q343"/>
    <mergeCell ref="C346:D346"/>
    <mergeCell ref="C347:D347"/>
    <mergeCell ref="C348:D348"/>
    <mergeCell ref="C349:D349"/>
    <mergeCell ref="C350:D350"/>
    <mergeCell ref="A352:A353"/>
    <mergeCell ref="B352:B353"/>
    <mergeCell ref="C352:C353"/>
    <mergeCell ref="E352:N352"/>
    <mergeCell ref="Y352:Y353"/>
    <mergeCell ref="A354:A355"/>
    <mergeCell ref="B354:B355"/>
    <mergeCell ref="C354:C355"/>
    <mergeCell ref="D354:D355"/>
    <mergeCell ref="C356:D356"/>
    <mergeCell ref="C357:D357"/>
    <mergeCell ref="C358:D358"/>
    <mergeCell ref="O352:Q353"/>
    <mergeCell ref="C359:D359"/>
    <mergeCell ref="C360:D360"/>
    <mergeCell ref="A362:A363"/>
    <mergeCell ref="B362:B363"/>
    <mergeCell ref="C362:C363"/>
    <mergeCell ref="E362:N362"/>
    <mergeCell ref="Y362:Y363"/>
    <mergeCell ref="A364:A365"/>
    <mergeCell ref="B364:B365"/>
    <mergeCell ref="C364:C365"/>
    <mergeCell ref="D364:D365"/>
    <mergeCell ref="O362:Q363"/>
    <mergeCell ref="C366:D366"/>
    <mergeCell ref="C367:D367"/>
    <mergeCell ref="C368:D368"/>
    <mergeCell ref="C369:D369"/>
    <mergeCell ref="C370:D370"/>
    <mergeCell ref="A372:A373"/>
    <mergeCell ref="B372:B373"/>
    <mergeCell ref="C372:C373"/>
    <mergeCell ref="E372:N372"/>
    <mergeCell ref="Y372:Y373"/>
    <mergeCell ref="A374:A375"/>
    <mergeCell ref="B374:B375"/>
    <mergeCell ref="C374:C375"/>
    <mergeCell ref="D374:D375"/>
    <mergeCell ref="C376:D376"/>
    <mergeCell ref="C377:D377"/>
    <mergeCell ref="C378:D378"/>
    <mergeCell ref="O372:Q373"/>
    <mergeCell ref="C379:D379"/>
    <mergeCell ref="C380:D380"/>
    <mergeCell ref="A382:A383"/>
    <mergeCell ref="B382:B383"/>
    <mergeCell ref="C382:C383"/>
    <mergeCell ref="E382:N382"/>
    <mergeCell ref="Y382:Y383"/>
    <mergeCell ref="A384:A385"/>
    <mergeCell ref="B384:B385"/>
    <mergeCell ref="C384:C385"/>
    <mergeCell ref="D384:D385"/>
    <mergeCell ref="O382:Q383"/>
    <mergeCell ref="C386:D386"/>
    <mergeCell ref="C387:D387"/>
    <mergeCell ref="C388:D388"/>
    <mergeCell ref="C389:D389"/>
    <mergeCell ref="C390:D390"/>
    <mergeCell ref="A392:A393"/>
    <mergeCell ref="B392:B393"/>
    <mergeCell ref="C392:C393"/>
    <mergeCell ref="E392:N392"/>
    <mergeCell ref="Y392:Y393"/>
    <mergeCell ref="A394:A395"/>
    <mergeCell ref="B394:B395"/>
    <mergeCell ref="C394:C395"/>
    <mergeCell ref="D394:D395"/>
    <mergeCell ref="C396:D396"/>
    <mergeCell ref="C397:D397"/>
    <mergeCell ref="C398:D398"/>
    <mergeCell ref="O392:Q393"/>
    <mergeCell ref="C399:D399"/>
    <mergeCell ref="C400:D400"/>
    <mergeCell ref="A402:A403"/>
    <mergeCell ref="B402:B403"/>
    <mergeCell ref="C402:C403"/>
    <mergeCell ref="E402:N402"/>
    <mergeCell ref="Y402:Y403"/>
    <mergeCell ref="A404:A405"/>
    <mergeCell ref="B404:B405"/>
    <mergeCell ref="C404:C405"/>
    <mergeCell ref="D404:D405"/>
    <mergeCell ref="O402:Q403"/>
    <mergeCell ref="C406:D406"/>
    <mergeCell ref="C407:D407"/>
    <mergeCell ref="C408:D408"/>
    <mergeCell ref="C409:D409"/>
    <mergeCell ref="C410:D410"/>
    <mergeCell ref="A412:A413"/>
    <mergeCell ref="B412:B413"/>
    <mergeCell ref="C412:C413"/>
    <mergeCell ref="E412:N412"/>
    <mergeCell ref="C419:D419"/>
    <mergeCell ref="C420:D420"/>
    <mergeCell ref="C423:O425"/>
    <mergeCell ref="Y423:Y424"/>
    <mergeCell ref="Y412:Y413"/>
    <mergeCell ref="A414:A415"/>
    <mergeCell ref="B414:B415"/>
    <mergeCell ref="C414:C415"/>
    <mergeCell ref="D414:D415"/>
    <mergeCell ref="C416:D416"/>
    <mergeCell ref="C417:D417"/>
    <mergeCell ref="C418:D418"/>
    <mergeCell ref="O412:Q413"/>
  </mergeCells>
  <printOptions horizontalCentered="1"/>
  <pageMargins left="0.25" right="0.25" top="0.75" bottom="0.5" header="0.5" footer="0.35"/>
  <pageSetup paperSize="9" scale="60" orientation="landscape" horizontalDpi="300" verticalDpi="300" r:id="rId1"/>
  <headerFooter>
    <oddFooter>Page &amp;P of &amp;N</oddFooter>
  </headerFooter>
  <rowBreaks count="8" manualBreakCount="8">
    <brk id="48" max="16383" man="1"/>
    <brk id="89" max="16383" man="1"/>
    <brk id="136" max="16383" man="1"/>
    <brk id="194" max="16383" man="1"/>
    <brk id="243" max="16383" man="1"/>
    <brk id="293" max="16383" man="1"/>
    <brk id="351" max="16383" man="1"/>
    <brk id="41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48576"/>
  <sheetViews>
    <sheetView view="pageBreakPreview" zoomScale="60" zoomScaleNormal="75" workbookViewId="0">
      <selection activeCell="G7" sqref="G7"/>
    </sheetView>
  </sheetViews>
  <sheetFormatPr defaultColWidth="8.7265625" defaultRowHeight="14.25" customHeight="1"/>
  <cols>
    <col min="1" max="1" width="10.26953125" style="122" customWidth="1"/>
    <col min="2" max="2" width="14.1796875" style="122" customWidth="1"/>
    <col min="3" max="3" width="1.7265625" style="1" customWidth="1"/>
    <col min="4" max="4" width="10.453125" style="2" customWidth="1"/>
    <col min="5" max="5" width="12.453125" style="1" customWidth="1"/>
    <col min="6" max="6" width="11.81640625" style="1" customWidth="1"/>
    <col min="7" max="7" width="47" style="1" customWidth="1"/>
    <col min="8" max="8" width="12.26953125" style="1" customWidth="1"/>
    <col min="9" max="9" width="7.81640625" style="123" customWidth="1"/>
    <col min="10" max="10" width="7.54296875" style="123" customWidth="1"/>
    <col min="11" max="12" width="9.1796875" style="124" customWidth="1"/>
    <col min="13" max="13" width="9.1796875" style="125" customWidth="1"/>
    <col min="14" max="15" width="8.7265625" style="1"/>
  </cols>
  <sheetData>
    <row r="1" spans="1:15" ht="18.5">
      <c r="A1" s="126" t="s">
        <v>234</v>
      </c>
    </row>
    <row r="3" spans="1:15" ht="14.5">
      <c r="A3" s="122" t="s">
        <v>235</v>
      </c>
      <c r="C3" s="1" t="s">
        <v>6</v>
      </c>
      <c r="D3" s="127" t="s">
        <v>265</v>
      </c>
    </row>
    <row r="4" spans="1:15" ht="14.5">
      <c r="A4" s="122" t="s">
        <v>236</v>
      </c>
      <c r="C4" s="1" t="s">
        <v>6</v>
      </c>
      <c r="D4" s="127"/>
    </row>
    <row r="5" spans="1:15" ht="14.5">
      <c r="A5" s="122" t="s">
        <v>237</v>
      </c>
      <c r="C5" s="1" t="s">
        <v>6</v>
      </c>
      <c r="D5" s="127" t="s">
        <v>266</v>
      </c>
    </row>
    <row r="6" spans="1:15" ht="14.5">
      <c r="A6" s="122" t="s">
        <v>139</v>
      </c>
      <c r="C6" s="1" t="s">
        <v>6</v>
      </c>
      <c r="D6" s="127" t="s">
        <v>19</v>
      </c>
    </row>
    <row r="7" spans="1:15" ht="14.5">
      <c r="A7" s="122" t="s">
        <v>238</v>
      </c>
      <c r="C7" s="1" t="s">
        <v>6</v>
      </c>
      <c r="D7" s="127"/>
    </row>
    <row r="8" spans="1:15" ht="14.5">
      <c r="A8" s="122" t="s">
        <v>239</v>
      </c>
      <c r="C8" s="1" t="s">
        <v>6</v>
      </c>
      <c r="D8" s="128"/>
    </row>
    <row r="9" spans="1:15" ht="14.5">
      <c r="A9" s="122" t="s">
        <v>240</v>
      </c>
      <c r="C9" s="1" t="s">
        <v>6</v>
      </c>
      <c r="D9" s="127" t="s">
        <v>23</v>
      </c>
    </row>
    <row r="10" spans="1:15" ht="14.5">
      <c r="A10" s="122" t="s">
        <v>241</v>
      </c>
      <c r="C10" s="1" t="s">
        <v>6</v>
      </c>
      <c r="D10" s="127"/>
    </row>
    <row r="11" spans="1:15" ht="14.5">
      <c r="A11" s="122" t="s">
        <v>242</v>
      </c>
      <c r="C11" s="1" t="s">
        <v>6</v>
      </c>
      <c r="D11" s="127" t="s">
        <v>25</v>
      </c>
    </row>
    <row r="12" spans="1:15" ht="14.5">
      <c r="A12" s="122" t="s">
        <v>243</v>
      </c>
      <c r="C12" s="1" t="s">
        <v>6</v>
      </c>
      <c r="D12" s="128"/>
    </row>
    <row r="15" spans="1:15" ht="32.25" customHeight="1">
      <c r="A15" s="129" t="s">
        <v>244</v>
      </c>
      <c r="B15" s="225" t="s">
        <v>245</v>
      </c>
      <c r="C15" s="225"/>
      <c r="D15" s="130" t="s">
        <v>34</v>
      </c>
      <c r="E15" s="129" t="s">
        <v>246</v>
      </c>
      <c r="F15" s="129" t="s">
        <v>247</v>
      </c>
      <c r="G15" s="129" t="s">
        <v>248</v>
      </c>
      <c r="H15" s="129" t="s">
        <v>249</v>
      </c>
      <c r="I15" s="131" t="s">
        <v>250</v>
      </c>
      <c r="J15" s="131" t="s">
        <v>251</v>
      </c>
      <c r="K15" s="132" t="s">
        <v>154</v>
      </c>
      <c r="L15" s="132" t="s">
        <v>155</v>
      </c>
      <c r="M15" s="133" t="s">
        <v>103</v>
      </c>
    </row>
    <row r="16" spans="1:15" s="47" customFormat="1" ht="14.5">
      <c r="A16" s="138" t="s">
        <v>252</v>
      </c>
      <c r="B16" s="138" t="s">
        <v>253</v>
      </c>
      <c r="C16" s="139"/>
      <c r="D16" s="139">
        <v>1</v>
      </c>
      <c r="E16" s="140" t="s">
        <v>39</v>
      </c>
      <c r="F16" s="140" t="s">
        <v>254</v>
      </c>
      <c r="G16" s="140" t="s">
        <v>40</v>
      </c>
      <c r="H16" s="140">
        <v>61109000</v>
      </c>
      <c r="I16" s="141">
        <f>'PL FC Utrecht'!R33</f>
        <v>4</v>
      </c>
      <c r="J16" s="141">
        <f>'PL FC Utrecht'!S33</f>
        <v>100</v>
      </c>
      <c r="K16" s="142">
        <f>'PL FC Utrecht'!V33</f>
        <v>45.44</v>
      </c>
      <c r="L16" s="142">
        <f>'PL FC Utrecht'!W33</f>
        <v>39.6</v>
      </c>
      <c r="M16" s="143">
        <f>'PL FC Utrecht'!Y33</f>
        <v>0.28399999999999997</v>
      </c>
      <c r="N16" s="46"/>
      <c r="O16" s="46"/>
    </row>
    <row r="17" spans="1:15" s="47" customFormat="1" ht="14.5">
      <c r="A17" s="144" t="s">
        <v>252</v>
      </c>
      <c r="B17" s="144" t="s">
        <v>253</v>
      </c>
      <c r="C17" s="145"/>
      <c r="D17" s="145">
        <v>3</v>
      </c>
      <c r="E17" s="146" t="s">
        <v>42</v>
      </c>
      <c r="F17" s="146" t="s">
        <v>179</v>
      </c>
      <c r="G17" s="146" t="s">
        <v>43</v>
      </c>
      <c r="H17" s="146">
        <v>61034900</v>
      </c>
      <c r="I17" s="147">
        <f>'PL FC Utrecht'!R43</f>
        <v>1</v>
      </c>
      <c r="J17" s="147">
        <f>'PL FC Utrecht'!S43</f>
        <v>100</v>
      </c>
      <c r="K17" s="148">
        <f>'PL FC Utrecht'!V43</f>
        <v>35.659999999999997</v>
      </c>
      <c r="L17" s="148">
        <f>'PL FC Utrecht'!W43</f>
        <v>30.76</v>
      </c>
      <c r="M17" s="149">
        <f>'PL FC Utrecht'!Y43</f>
        <v>7.0999999999999994E-2</v>
      </c>
      <c r="N17" s="134"/>
      <c r="O17" s="46"/>
    </row>
    <row r="18" spans="1:15" s="47" customFormat="1" ht="14.5">
      <c r="A18" s="144" t="s">
        <v>252</v>
      </c>
      <c r="B18" s="144" t="s">
        <v>253</v>
      </c>
      <c r="C18" s="145"/>
      <c r="D18" s="145">
        <v>4</v>
      </c>
      <c r="E18" s="146" t="s">
        <v>45</v>
      </c>
      <c r="F18" s="146" t="s">
        <v>180</v>
      </c>
      <c r="G18" s="146" t="s">
        <v>46</v>
      </c>
      <c r="H18" s="146">
        <v>61109000</v>
      </c>
      <c r="I18" s="147">
        <f>'PL FC Utrecht'!R57</f>
        <v>6</v>
      </c>
      <c r="J18" s="147">
        <f>'PL FC Utrecht'!S57</f>
        <v>150</v>
      </c>
      <c r="K18" s="148">
        <f>'PL FC Utrecht'!V57</f>
        <v>35.54</v>
      </c>
      <c r="L18" s="148">
        <f>'PL FC Utrecht'!W57</f>
        <v>28.24</v>
      </c>
      <c r="M18" s="149">
        <f>'PL FC Utrecht'!Y57</f>
        <v>0.27800000000000002</v>
      </c>
      <c r="N18" s="134"/>
      <c r="O18" s="46"/>
    </row>
    <row r="19" spans="1:15" s="47" customFormat="1" ht="14.5">
      <c r="A19" s="144" t="s">
        <v>252</v>
      </c>
      <c r="B19" s="144" t="s">
        <v>253</v>
      </c>
      <c r="C19" s="145"/>
      <c r="D19" s="145">
        <v>5</v>
      </c>
      <c r="E19" s="146" t="s">
        <v>48</v>
      </c>
      <c r="F19" s="146" t="s">
        <v>182</v>
      </c>
      <c r="G19" s="146" t="s">
        <v>49</v>
      </c>
      <c r="H19" s="146">
        <v>61034900</v>
      </c>
      <c r="I19" s="147">
        <f>'PL FC Utrecht'!R70</f>
        <v>4</v>
      </c>
      <c r="J19" s="147">
        <f>'PL FC Utrecht'!S70</f>
        <v>100</v>
      </c>
      <c r="K19" s="148">
        <f>'PL FC Utrecht'!V70</f>
        <v>35.619999999999997</v>
      </c>
      <c r="L19" s="148">
        <f>'PL FC Utrecht'!W70</f>
        <v>30.72</v>
      </c>
      <c r="M19" s="149">
        <f>'PL FC Utrecht'!Y70</f>
        <v>0.17299999999999999</v>
      </c>
      <c r="N19" s="134"/>
      <c r="O19" s="46"/>
    </row>
    <row r="20" spans="1:15" s="47" customFormat="1" ht="14.5">
      <c r="A20" s="144" t="s">
        <v>252</v>
      </c>
      <c r="B20" s="144" t="s">
        <v>253</v>
      </c>
      <c r="C20" s="145"/>
      <c r="D20" s="145">
        <v>7</v>
      </c>
      <c r="E20" s="146" t="s">
        <v>51</v>
      </c>
      <c r="F20" s="146" t="s">
        <v>191</v>
      </c>
      <c r="G20" s="146" t="s">
        <v>43</v>
      </c>
      <c r="H20" s="146">
        <v>61034900</v>
      </c>
      <c r="I20" s="147">
        <f>'PL FC Utrecht'!R84</f>
        <v>5</v>
      </c>
      <c r="J20" s="147">
        <f>'PL FC Utrecht'!S84</f>
        <v>206</v>
      </c>
      <c r="K20" s="148">
        <f>'PL FC Utrecht'!V84</f>
        <v>91.76</v>
      </c>
      <c r="L20" s="148">
        <f>'PL FC Utrecht'!W84</f>
        <v>81.14</v>
      </c>
      <c r="M20" s="149">
        <f>'PL FC Utrecht'!Y84</f>
        <v>0.28100000000000003</v>
      </c>
      <c r="N20" s="134"/>
      <c r="O20" s="46"/>
    </row>
    <row r="21" spans="1:15" s="47" customFormat="1" ht="14.5">
      <c r="A21" s="144" t="s">
        <v>252</v>
      </c>
      <c r="B21" s="144" t="s">
        <v>253</v>
      </c>
      <c r="C21" s="145"/>
      <c r="D21" s="145">
        <v>8</v>
      </c>
      <c r="E21" s="146" t="s">
        <v>53</v>
      </c>
      <c r="F21" s="146" t="s">
        <v>192</v>
      </c>
      <c r="G21" s="146" t="s">
        <v>46</v>
      </c>
      <c r="H21" s="146">
        <v>61109000</v>
      </c>
      <c r="I21" s="147">
        <f>'PL FC Utrecht'!R103</f>
        <v>13</v>
      </c>
      <c r="J21" s="147">
        <f>'PL FC Utrecht'!S103</f>
        <v>300</v>
      </c>
      <c r="K21" s="148">
        <f>'PL FC Utrecht'!V103</f>
        <v>159.63999999999999</v>
      </c>
      <c r="L21" s="148">
        <f>'PL FC Utrecht'!W103</f>
        <v>144.28</v>
      </c>
      <c r="M21" s="149">
        <f>'PL FC Utrecht'!Y103</f>
        <v>0.73799999999999999</v>
      </c>
      <c r="N21" s="134"/>
      <c r="O21" s="46"/>
    </row>
    <row r="22" spans="1:15" s="47" customFormat="1" ht="14.5">
      <c r="A22" s="144" t="s">
        <v>252</v>
      </c>
      <c r="B22" s="144" t="s">
        <v>253</v>
      </c>
      <c r="C22" s="145"/>
      <c r="D22" s="145">
        <v>9</v>
      </c>
      <c r="E22" s="146" t="s">
        <v>55</v>
      </c>
      <c r="F22" s="146" t="s">
        <v>193</v>
      </c>
      <c r="G22" s="146" t="s">
        <v>49</v>
      </c>
      <c r="H22" s="146">
        <v>61034900</v>
      </c>
      <c r="I22" s="147">
        <f>'PL FC Utrecht'!R120</f>
        <v>8</v>
      </c>
      <c r="J22" s="147">
        <f>'PL FC Utrecht'!S120</f>
        <v>202</v>
      </c>
      <c r="K22" s="148">
        <f>'PL FC Utrecht'!V120</f>
        <v>90.1</v>
      </c>
      <c r="L22" s="148">
        <f>'PL FC Utrecht'!W120</f>
        <v>81.06</v>
      </c>
      <c r="M22" s="149">
        <f>'PL FC Utrecht'!Y120</f>
        <v>0.45700000000000002</v>
      </c>
      <c r="N22" s="134"/>
      <c r="O22" s="46"/>
    </row>
    <row r="23" spans="1:15" s="47" customFormat="1" ht="14.5">
      <c r="A23" s="144" t="s">
        <v>252</v>
      </c>
      <c r="B23" s="144" t="s">
        <v>253</v>
      </c>
      <c r="C23" s="145"/>
      <c r="D23" s="145">
        <v>2</v>
      </c>
      <c r="E23" s="146" t="s">
        <v>57</v>
      </c>
      <c r="F23" s="146" t="s">
        <v>255</v>
      </c>
      <c r="G23" s="146" t="s">
        <v>58</v>
      </c>
      <c r="H23" s="146">
        <v>61099020</v>
      </c>
      <c r="I23" s="147">
        <f>'PL FC Utrecht'!R131</f>
        <v>3</v>
      </c>
      <c r="J23" s="147">
        <f>'PL FC Utrecht'!S131</f>
        <v>200</v>
      </c>
      <c r="K23" s="148">
        <f>'PL FC Utrecht'!V131</f>
        <v>10.76</v>
      </c>
      <c r="L23" s="148">
        <f>'PL FC Utrecht'!W131</f>
        <v>7.82</v>
      </c>
      <c r="M23" s="149">
        <f>'PL FC Utrecht'!Y131</f>
        <v>0.13900000000000001</v>
      </c>
      <c r="N23" s="134"/>
      <c r="O23" s="46"/>
    </row>
    <row r="24" spans="1:15" s="47" customFormat="1" ht="14.5">
      <c r="A24" s="144" t="s">
        <v>252</v>
      </c>
      <c r="B24" s="144" t="s">
        <v>253</v>
      </c>
      <c r="C24" s="146"/>
      <c r="D24" s="145">
        <v>6</v>
      </c>
      <c r="E24" s="146" t="s">
        <v>60</v>
      </c>
      <c r="F24" s="146" t="s">
        <v>256</v>
      </c>
      <c r="G24" s="146" t="s">
        <v>58</v>
      </c>
      <c r="H24" s="146">
        <v>61099020</v>
      </c>
      <c r="I24" s="147">
        <f>'PL FC Utrecht'!R147</f>
        <v>8</v>
      </c>
      <c r="J24" s="147">
        <f>'PL FC Utrecht'!S147</f>
        <v>400</v>
      </c>
      <c r="K24" s="148">
        <f>'PL FC Utrecht'!V147</f>
        <v>71.3</v>
      </c>
      <c r="L24" s="148">
        <f>'PL FC Utrecht'!W147</f>
        <v>61.06</v>
      </c>
      <c r="M24" s="149">
        <f>'PL FC Utrecht'!Y147</f>
        <v>0.42000000000000004</v>
      </c>
      <c r="N24" s="134"/>
      <c r="O24" s="46"/>
    </row>
    <row r="25" spans="1:15" s="47" customFormat="1" ht="14.5">
      <c r="A25" s="144" t="s">
        <v>252</v>
      </c>
      <c r="B25" s="144" t="s">
        <v>257</v>
      </c>
      <c r="C25" s="145"/>
      <c r="D25" s="145">
        <v>1</v>
      </c>
      <c r="E25" s="146" t="s">
        <v>64</v>
      </c>
      <c r="F25" s="146" t="s">
        <v>205</v>
      </c>
      <c r="G25" s="146" t="s">
        <v>65</v>
      </c>
      <c r="H25" s="146">
        <v>61109000</v>
      </c>
      <c r="I25" s="147">
        <f>'PL FC Utrecht'!R217</f>
        <v>1</v>
      </c>
      <c r="J25" s="147">
        <f>'PL FC Utrecht'!S217</f>
        <v>25</v>
      </c>
      <c r="K25" s="148">
        <f>'PL FC Utrecht'!V217</f>
        <v>11.690000000000001</v>
      </c>
      <c r="L25" s="148">
        <f>'PL FC Utrecht'!W217</f>
        <v>9.8500000000000014</v>
      </c>
      <c r="M25" s="149">
        <f>'PL FC Utrecht'!Y217</f>
        <v>8.7999999999999995E-2</v>
      </c>
      <c r="N25" s="46"/>
      <c r="O25" s="134"/>
    </row>
    <row r="26" spans="1:15" s="47" customFormat="1" ht="14.5">
      <c r="A26" s="144" t="s">
        <v>252</v>
      </c>
      <c r="B26" s="144" t="s">
        <v>257</v>
      </c>
      <c r="C26" s="145"/>
      <c r="D26" s="145">
        <v>2</v>
      </c>
      <c r="E26" s="146" t="s">
        <v>67</v>
      </c>
      <c r="F26" s="146" t="s">
        <v>207</v>
      </c>
      <c r="G26" s="146" t="s">
        <v>68</v>
      </c>
      <c r="H26" s="146">
        <v>61099020</v>
      </c>
      <c r="I26" s="147">
        <f>'PL FC Utrecht'!R228</f>
        <v>3</v>
      </c>
      <c r="J26" s="147">
        <f>'PL FC Utrecht'!S228</f>
        <v>171</v>
      </c>
      <c r="K26" s="148">
        <f>'PL FC Utrecht'!V228</f>
        <v>26.31</v>
      </c>
      <c r="L26" s="148">
        <f>'PL FC Utrecht'!W228</f>
        <v>20.21</v>
      </c>
      <c r="M26" s="149">
        <f>'PL FC Utrecht'!Y228</f>
        <v>0.13900000000000001</v>
      </c>
      <c r="N26" s="46"/>
      <c r="O26" s="134"/>
    </row>
    <row r="27" spans="1:15" s="47" customFormat="1" ht="14.5">
      <c r="A27" s="144" t="s">
        <v>252</v>
      </c>
      <c r="B27" s="144" t="s">
        <v>257</v>
      </c>
      <c r="C27" s="145"/>
      <c r="D27" s="145">
        <v>3</v>
      </c>
      <c r="E27" s="146" t="s">
        <v>42</v>
      </c>
      <c r="F27" s="146" t="s">
        <v>208</v>
      </c>
      <c r="G27" s="146" t="s">
        <v>43</v>
      </c>
      <c r="H27" s="146">
        <v>61034900</v>
      </c>
      <c r="I27" s="147">
        <f>'PL FC Utrecht'!R238</f>
        <v>2</v>
      </c>
      <c r="J27" s="147">
        <f>'PL FC Utrecht'!S238</f>
        <v>141</v>
      </c>
      <c r="K27" s="148">
        <f>'PL FC Utrecht'!V238</f>
        <v>50.3</v>
      </c>
      <c r="L27" s="148">
        <f>'PL FC Utrecht'!W238</f>
        <v>44.8</v>
      </c>
      <c r="M27" s="149">
        <f>'PL FC Utrecht'!Y238</f>
        <v>0.105</v>
      </c>
      <c r="N27" s="46"/>
      <c r="O27" s="134"/>
    </row>
    <row r="28" spans="1:15" s="47" customFormat="1" ht="14.5">
      <c r="A28" s="144" t="s">
        <v>252</v>
      </c>
      <c r="B28" s="144" t="s">
        <v>257</v>
      </c>
      <c r="C28" s="145"/>
      <c r="D28" s="145">
        <v>4</v>
      </c>
      <c r="E28" s="146" t="s">
        <v>45</v>
      </c>
      <c r="F28" s="146" t="s">
        <v>209</v>
      </c>
      <c r="G28" s="146" t="s">
        <v>46</v>
      </c>
      <c r="H28" s="146">
        <v>61109000</v>
      </c>
      <c r="I28" s="147">
        <f>'PL FC Utrecht'!R250</f>
        <v>4</v>
      </c>
      <c r="J28" s="147">
        <f>'PL FC Utrecht'!S250</f>
        <v>126</v>
      </c>
      <c r="K28" s="148">
        <f>'PL FC Utrecht'!V250</f>
        <v>31.28</v>
      </c>
      <c r="L28" s="148">
        <f>'PL FC Utrecht'!W250</f>
        <v>24.58</v>
      </c>
      <c r="M28" s="149">
        <f>'PL FC Utrecht'!Y250</f>
        <v>0.247</v>
      </c>
      <c r="N28" s="46"/>
      <c r="O28" s="134"/>
    </row>
    <row r="29" spans="1:15" s="47" customFormat="1" ht="14.5">
      <c r="A29" s="144" t="s">
        <v>252</v>
      </c>
      <c r="B29" s="144" t="s">
        <v>257</v>
      </c>
      <c r="C29" s="145"/>
      <c r="D29" s="145">
        <v>5</v>
      </c>
      <c r="E29" s="146" t="s">
        <v>48</v>
      </c>
      <c r="F29" s="146" t="s">
        <v>210</v>
      </c>
      <c r="G29" s="146" t="s">
        <v>49</v>
      </c>
      <c r="H29" s="146">
        <v>61034900</v>
      </c>
      <c r="I29" s="147">
        <f>'PL FC Utrecht'!R262</f>
        <v>4</v>
      </c>
      <c r="J29" s="147">
        <f>'PL FC Utrecht'!S262</f>
        <v>119</v>
      </c>
      <c r="K29" s="148">
        <f>'PL FC Utrecht'!V262</f>
        <v>42.34</v>
      </c>
      <c r="L29" s="148">
        <f>'PL FC Utrecht'!W262</f>
        <v>37.44</v>
      </c>
      <c r="M29" s="149">
        <f>'PL FC Utrecht'!Y262</f>
        <v>0.21</v>
      </c>
      <c r="N29" s="46"/>
      <c r="O29" s="134"/>
    </row>
    <row r="30" spans="1:15" s="47" customFormat="1" ht="14.5">
      <c r="A30" s="144" t="s">
        <v>252</v>
      </c>
      <c r="B30" s="144" t="s">
        <v>257</v>
      </c>
      <c r="C30" s="145"/>
      <c r="D30" s="145">
        <v>7</v>
      </c>
      <c r="E30" s="146" t="s">
        <v>51</v>
      </c>
      <c r="F30" s="146" t="s">
        <v>213</v>
      </c>
      <c r="G30" s="146" t="s">
        <v>43</v>
      </c>
      <c r="H30" s="146">
        <v>61034900</v>
      </c>
      <c r="I30" s="147">
        <f>'PL FC Utrecht'!R275</f>
        <v>5</v>
      </c>
      <c r="J30" s="147">
        <f>'PL FC Utrecht'!S275</f>
        <v>162</v>
      </c>
      <c r="K30" s="148">
        <f>'PL FC Utrecht'!V275</f>
        <v>68.760000000000005</v>
      </c>
      <c r="L30" s="148">
        <f>'PL FC Utrecht'!W275</f>
        <v>60.7</v>
      </c>
      <c r="M30" s="149">
        <f>'PL FC Utrecht'!Y275</f>
        <v>0.20700000000000002</v>
      </c>
      <c r="N30" s="46"/>
      <c r="O30" s="134"/>
    </row>
    <row r="31" spans="1:15" s="47" customFormat="1" ht="14.5">
      <c r="A31" s="144" t="s">
        <v>252</v>
      </c>
      <c r="B31" s="144" t="s">
        <v>257</v>
      </c>
      <c r="C31" s="145"/>
      <c r="D31" s="145">
        <v>8</v>
      </c>
      <c r="E31" s="146" t="s">
        <v>53</v>
      </c>
      <c r="F31" s="146" t="s">
        <v>214</v>
      </c>
      <c r="G31" s="146" t="s">
        <v>46</v>
      </c>
      <c r="H31" s="146">
        <v>61109000</v>
      </c>
      <c r="I31" s="147">
        <f>'PL FC Utrecht'!R288</f>
        <v>5</v>
      </c>
      <c r="J31" s="147">
        <f>'PL FC Utrecht'!S288</f>
        <v>134</v>
      </c>
      <c r="K31" s="148">
        <f>'PL FC Utrecht'!V288</f>
        <v>68.569999999999993</v>
      </c>
      <c r="L31" s="148">
        <f>'PL FC Utrecht'!W288</f>
        <v>58.93</v>
      </c>
      <c r="M31" s="149">
        <f>'PL FC Utrecht'!Y288</f>
        <v>0.31799999999999995</v>
      </c>
      <c r="N31" s="46"/>
      <c r="O31" s="134"/>
    </row>
    <row r="32" spans="1:15" s="47" customFormat="1" ht="14.5">
      <c r="A32" s="144" t="s">
        <v>252</v>
      </c>
      <c r="B32" s="144" t="s">
        <v>257</v>
      </c>
      <c r="C32" s="145"/>
      <c r="D32" s="145">
        <v>9</v>
      </c>
      <c r="E32" s="146" t="s">
        <v>55</v>
      </c>
      <c r="F32" s="146" t="s">
        <v>215</v>
      </c>
      <c r="G32" s="146" t="s">
        <v>49</v>
      </c>
      <c r="H32" s="146">
        <v>61034900</v>
      </c>
      <c r="I32" s="147">
        <f>'PL FC Utrecht'!R302</f>
        <v>6</v>
      </c>
      <c r="J32" s="147">
        <f>'PL FC Utrecht'!S302</f>
        <v>124</v>
      </c>
      <c r="K32" s="148">
        <f>'PL FC Utrecht'!V302</f>
        <v>55</v>
      </c>
      <c r="L32" s="148">
        <f>'PL FC Utrecht'!W302</f>
        <v>46.94</v>
      </c>
      <c r="M32" s="149">
        <f>'PL FC Utrecht'!Y302</f>
        <v>0.315</v>
      </c>
      <c r="N32" s="46"/>
      <c r="O32" s="134"/>
    </row>
    <row r="33" spans="1:15" s="47" customFormat="1" ht="14.5">
      <c r="A33" s="144" t="s">
        <v>252</v>
      </c>
      <c r="B33" s="144" t="s">
        <v>257</v>
      </c>
      <c r="C33" s="145"/>
      <c r="D33" s="145">
        <v>6</v>
      </c>
      <c r="E33" s="146" t="s">
        <v>70</v>
      </c>
      <c r="F33" s="146" t="s">
        <v>216</v>
      </c>
      <c r="G33" s="146" t="s">
        <v>68</v>
      </c>
      <c r="H33" s="146">
        <v>61099020</v>
      </c>
      <c r="I33" s="147">
        <f>'PL FC Utrecht'!R315</f>
        <v>5</v>
      </c>
      <c r="J33" s="147">
        <f>'PL FC Utrecht'!S315</f>
        <v>198</v>
      </c>
      <c r="K33" s="148">
        <f>'PL FC Utrecht'!V315</f>
        <v>26.31</v>
      </c>
      <c r="L33" s="148">
        <f>'PL FC Utrecht'!W315</f>
        <v>20.21</v>
      </c>
      <c r="M33" s="149">
        <f>'PL FC Utrecht'!Y315</f>
        <v>0.20700000000000002</v>
      </c>
      <c r="N33" s="46"/>
      <c r="O33" s="134"/>
    </row>
    <row r="34" spans="1:15" s="47" customFormat="1" ht="14.5">
      <c r="A34" s="144" t="s">
        <v>252</v>
      </c>
      <c r="B34" s="144" t="s">
        <v>258</v>
      </c>
      <c r="C34" s="145"/>
      <c r="D34" s="145">
        <v>1</v>
      </c>
      <c r="E34" s="146" t="s">
        <v>73</v>
      </c>
      <c r="F34" s="146" t="s">
        <v>259</v>
      </c>
      <c r="G34" s="146" t="s">
        <v>40</v>
      </c>
      <c r="H34" s="146">
        <v>61109000</v>
      </c>
      <c r="I34" s="147">
        <f>'PL FC Utrecht'!R336</f>
        <v>1</v>
      </c>
      <c r="J34" s="147">
        <f>'PL FC Utrecht'!S336</f>
        <v>25</v>
      </c>
      <c r="K34" s="148">
        <f>'PL FC Utrecht'!V336</f>
        <v>11.690000000000001</v>
      </c>
      <c r="L34" s="148">
        <f>'PL FC Utrecht'!W336</f>
        <v>9.8500000000000014</v>
      </c>
      <c r="M34" s="149">
        <f>'PL FC Utrecht'!Y336</f>
        <v>8.7999999999999995E-2</v>
      </c>
      <c r="N34" s="46"/>
      <c r="O34" s="134"/>
    </row>
    <row r="35" spans="1:15" s="47" customFormat="1" ht="14.5">
      <c r="A35" s="144" t="s">
        <v>252</v>
      </c>
      <c r="B35" s="144" t="s">
        <v>258</v>
      </c>
      <c r="C35" s="146"/>
      <c r="D35" s="145">
        <v>2</v>
      </c>
      <c r="E35" s="146" t="s">
        <v>74</v>
      </c>
      <c r="F35" s="146" t="s">
        <v>260</v>
      </c>
      <c r="G35" s="146" t="s">
        <v>58</v>
      </c>
      <c r="H35" s="146">
        <v>61099020</v>
      </c>
      <c r="I35" s="147">
        <f>'PL FC Utrecht'!R346</f>
        <v>1</v>
      </c>
      <c r="J35" s="147">
        <f>'PL FC Utrecht'!S346</f>
        <v>25</v>
      </c>
      <c r="K35" s="148">
        <f>'PL FC Utrecht'!V346</f>
        <v>5.9099999999999993</v>
      </c>
      <c r="L35" s="148">
        <f>'PL FC Utrecht'!W346</f>
        <v>4.9499999999999993</v>
      </c>
      <c r="M35" s="149">
        <f>'PL FC Utrecht'!Y346</f>
        <v>3.4000000000000002E-2</v>
      </c>
      <c r="N35" s="46"/>
      <c r="O35" s="134"/>
    </row>
    <row r="36" spans="1:15" s="47" customFormat="1" ht="14.5">
      <c r="A36" s="144" t="s">
        <v>252</v>
      </c>
      <c r="B36" s="144" t="s">
        <v>258</v>
      </c>
      <c r="C36" s="146"/>
      <c r="D36" s="145">
        <v>6</v>
      </c>
      <c r="E36" s="146" t="s">
        <v>75</v>
      </c>
      <c r="F36" s="146" t="s">
        <v>261</v>
      </c>
      <c r="G36" s="146" t="s">
        <v>58</v>
      </c>
      <c r="H36" s="146">
        <v>61099020</v>
      </c>
      <c r="I36" s="147">
        <f>'PL FC Utrecht'!R356</f>
        <v>1</v>
      </c>
      <c r="J36" s="147">
        <f>'PL FC Utrecht'!S356</f>
        <v>26</v>
      </c>
      <c r="K36" s="148">
        <f>'PL FC Utrecht'!V356</f>
        <v>6.0980000000000008</v>
      </c>
      <c r="L36" s="148">
        <f>'PL FC Utrecht'!W356</f>
        <v>5.1380000000000008</v>
      </c>
      <c r="M36" s="149">
        <f>'PL FC Utrecht'!Y356</f>
        <v>3.4000000000000002E-2</v>
      </c>
      <c r="N36" s="46"/>
      <c r="O36" s="134"/>
    </row>
    <row r="37" spans="1:15" s="47" customFormat="1" ht="14.5">
      <c r="A37" s="144" t="s">
        <v>252</v>
      </c>
      <c r="B37" s="144" t="s">
        <v>258</v>
      </c>
      <c r="C37" s="146"/>
      <c r="D37" s="145">
        <v>4</v>
      </c>
      <c r="E37" s="146" t="s">
        <v>77</v>
      </c>
      <c r="F37" s="146" t="s">
        <v>224</v>
      </c>
      <c r="G37" s="146" t="s">
        <v>78</v>
      </c>
      <c r="H37" s="146">
        <v>61109000</v>
      </c>
      <c r="I37" s="147">
        <f>'PL FC Utrecht'!R366</f>
        <v>1</v>
      </c>
      <c r="J37" s="147">
        <f>'PL FC Utrecht'!S366</f>
        <v>25</v>
      </c>
      <c r="K37" s="148">
        <f>'PL FC Utrecht'!V366</f>
        <v>1.1200000000000001</v>
      </c>
      <c r="L37" s="148">
        <f>'PL FC Utrecht'!W366</f>
        <v>0.14000000000000001</v>
      </c>
      <c r="M37" s="149">
        <f>'PL FC Utrecht'!Y366</f>
        <v>3.4000000000000002E-2</v>
      </c>
      <c r="N37" s="46"/>
      <c r="O37" s="134"/>
    </row>
    <row r="38" spans="1:15" s="47" customFormat="1" ht="14.5">
      <c r="A38" s="144" t="s">
        <v>252</v>
      </c>
      <c r="B38" s="144" t="s">
        <v>258</v>
      </c>
      <c r="C38" s="146"/>
      <c r="D38" s="145">
        <v>5</v>
      </c>
      <c r="E38" s="146" t="s">
        <v>80</v>
      </c>
      <c r="F38" s="146" t="s">
        <v>226</v>
      </c>
      <c r="G38" s="146" t="s">
        <v>81</v>
      </c>
      <c r="H38" s="146">
        <v>61099020</v>
      </c>
      <c r="I38" s="147">
        <f>'PL FC Utrecht'!R376</f>
        <v>1</v>
      </c>
      <c r="J38" s="147">
        <f>'PL FC Utrecht'!S376</f>
        <v>25</v>
      </c>
      <c r="K38" s="148">
        <f>'PL FC Utrecht'!V376</f>
        <v>2.2799999999999998</v>
      </c>
      <c r="L38" s="148">
        <f>'PL FC Utrecht'!W376</f>
        <v>1.3</v>
      </c>
      <c r="M38" s="149">
        <f>'PL FC Utrecht'!Y376</f>
        <v>3.4000000000000002E-2</v>
      </c>
      <c r="N38" s="46"/>
      <c r="O38" s="134"/>
    </row>
    <row r="39" spans="1:15" s="47" customFormat="1" ht="14.5">
      <c r="A39" s="144" t="s">
        <v>252</v>
      </c>
      <c r="B39" s="144" t="s">
        <v>258</v>
      </c>
      <c r="C39" s="146"/>
      <c r="D39" s="145">
        <v>8</v>
      </c>
      <c r="E39" s="146" t="s">
        <v>83</v>
      </c>
      <c r="F39" s="146" t="s">
        <v>227</v>
      </c>
      <c r="G39" s="146" t="s">
        <v>78</v>
      </c>
      <c r="H39" s="146">
        <v>61034900</v>
      </c>
      <c r="I39" s="147">
        <f>'PL FC Utrecht'!R386</f>
        <v>1</v>
      </c>
      <c r="J39" s="147">
        <f>'PL FC Utrecht'!S386</f>
        <v>26</v>
      </c>
      <c r="K39" s="148">
        <f>'PL FC Utrecht'!V386</f>
        <v>2.27</v>
      </c>
      <c r="L39" s="148">
        <f>'PL FC Utrecht'!W386</f>
        <v>1.29</v>
      </c>
      <c r="M39" s="149">
        <f>'PL FC Utrecht'!Y386</f>
        <v>3.4000000000000002E-2</v>
      </c>
      <c r="N39" s="46"/>
      <c r="O39" s="134"/>
    </row>
    <row r="40" spans="1:15" s="47" customFormat="1" ht="14.5">
      <c r="A40" s="144" t="s">
        <v>252</v>
      </c>
      <c r="B40" s="144" t="s">
        <v>258</v>
      </c>
      <c r="C40" s="146"/>
      <c r="D40" s="145">
        <v>9</v>
      </c>
      <c r="E40" s="146" t="s">
        <v>85</v>
      </c>
      <c r="F40" s="146" t="s">
        <v>229</v>
      </c>
      <c r="G40" s="146" t="s">
        <v>81</v>
      </c>
      <c r="H40" s="146">
        <v>61099020</v>
      </c>
      <c r="I40" s="147">
        <f>'PL FC Utrecht'!R396</f>
        <v>1</v>
      </c>
      <c r="J40" s="147">
        <f>'PL FC Utrecht'!S396</f>
        <v>26</v>
      </c>
      <c r="K40" s="148">
        <f>'PL FC Utrecht'!V396</f>
        <v>2.06</v>
      </c>
      <c r="L40" s="148">
        <f>'PL FC Utrecht'!W396</f>
        <v>1.08</v>
      </c>
      <c r="M40" s="149">
        <f>'PL FC Utrecht'!Y396</f>
        <v>3.4000000000000002E-2</v>
      </c>
      <c r="N40" s="46"/>
      <c r="O40" s="134"/>
    </row>
    <row r="41" spans="1:15" s="47" customFormat="1" ht="14.5">
      <c r="A41" s="144" t="s">
        <v>252</v>
      </c>
      <c r="B41" s="144" t="s">
        <v>258</v>
      </c>
      <c r="C41" s="146"/>
      <c r="D41" s="145">
        <v>3</v>
      </c>
      <c r="E41" s="146" t="s">
        <v>87</v>
      </c>
      <c r="F41" s="146" t="s">
        <v>231</v>
      </c>
      <c r="G41" s="146" t="s">
        <v>88</v>
      </c>
      <c r="H41" s="146">
        <v>61034900</v>
      </c>
      <c r="I41" s="147">
        <f>'PL FC Utrecht'!R406</f>
        <v>1</v>
      </c>
      <c r="J41" s="147">
        <f>'PL FC Utrecht'!S406</f>
        <v>25</v>
      </c>
      <c r="K41" s="148">
        <f>'PL FC Utrecht'!V406</f>
        <v>2.2799999999999998</v>
      </c>
      <c r="L41" s="148">
        <f>'PL FC Utrecht'!W406</f>
        <v>1.3</v>
      </c>
      <c r="M41" s="149">
        <f>'PL FC Utrecht'!Y406</f>
        <v>3.4000000000000002E-2</v>
      </c>
      <c r="N41" s="46"/>
      <c r="O41" s="134"/>
    </row>
    <row r="42" spans="1:15" s="47" customFormat="1" ht="14.5">
      <c r="A42" s="144" t="s">
        <v>252</v>
      </c>
      <c r="B42" s="144" t="s">
        <v>258</v>
      </c>
      <c r="C42" s="146"/>
      <c r="D42" s="145">
        <v>7</v>
      </c>
      <c r="E42" s="146" t="s">
        <v>90</v>
      </c>
      <c r="F42" s="146" t="s">
        <v>233</v>
      </c>
      <c r="G42" s="146" t="s">
        <v>88</v>
      </c>
      <c r="H42" s="146">
        <v>61034900</v>
      </c>
      <c r="I42" s="147">
        <f>'PL FC Utrecht'!R416</f>
        <v>1</v>
      </c>
      <c r="J42" s="147">
        <f>'PL FC Utrecht'!S416</f>
        <v>26</v>
      </c>
      <c r="K42" s="148">
        <f>'PL FC Utrecht'!V416</f>
        <v>2.06</v>
      </c>
      <c r="L42" s="148">
        <f>'PL FC Utrecht'!W416</f>
        <v>1.08</v>
      </c>
      <c r="M42" s="149">
        <f>'PL FC Utrecht'!Y416</f>
        <v>3.4000000000000002E-2</v>
      </c>
      <c r="N42" s="46"/>
      <c r="O42" s="134"/>
    </row>
    <row r="43" spans="1:15" s="47" customFormat="1" ht="14.5">
      <c r="A43" s="144" t="s">
        <v>252</v>
      </c>
      <c r="B43" s="144" t="s">
        <v>262</v>
      </c>
      <c r="C43" s="146"/>
      <c r="D43" s="145">
        <v>3</v>
      </c>
      <c r="E43" s="146" t="s">
        <v>92</v>
      </c>
      <c r="F43" s="146" t="s">
        <v>198</v>
      </c>
      <c r="G43" s="146" t="s">
        <v>46</v>
      </c>
      <c r="H43" s="146">
        <v>61109000</v>
      </c>
      <c r="I43" s="147">
        <f>'PL FC Utrecht'!R170</f>
        <v>6</v>
      </c>
      <c r="J43" s="147">
        <f>'PL FC Utrecht'!S170</f>
        <v>152</v>
      </c>
      <c r="K43" s="148">
        <f>'PL FC Utrecht'!V170</f>
        <v>35.979999999999997</v>
      </c>
      <c r="L43" s="148">
        <f>'PL FC Utrecht'!W170</f>
        <v>28.68</v>
      </c>
      <c r="M43" s="149">
        <f>'PL FC Utrecht'!Y170</f>
        <v>0.24100000000000002</v>
      </c>
      <c r="N43" s="46"/>
      <c r="O43" s="134"/>
    </row>
    <row r="44" spans="1:15" s="47" customFormat="1" ht="14.5">
      <c r="A44" s="144" t="s">
        <v>252</v>
      </c>
      <c r="B44" s="144" t="s">
        <v>262</v>
      </c>
      <c r="C44" s="146"/>
      <c r="D44" s="145">
        <v>5</v>
      </c>
      <c r="E44" s="146" t="s">
        <v>93</v>
      </c>
      <c r="F44" s="146" t="s">
        <v>199</v>
      </c>
      <c r="G44" s="146" t="s">
        <v>46</v>
      </c>
      <c r="H44" s="146">
        <v>61109000</v>
      </c>
      <c r="I44" s="147">
        <f>'PL FC Utrecht'!R190</f>
        <v>13</v>
      </c>
      <c r="J44" s="147">
        <f>'PL FC Utrecht'!S190</f>
        <v>300</v>
      </c>
      <c r="K44" s="148">
        <f>'PL FC Utrecht'!V190</f>
        <v>160.16999999999999</v>
      </c>
      <c r="L44" s="148">
        <f>'PL FC Utrecht'!W190</f>
        <v>144.81</v>
      </c>
      <c r="M44" s="149">
        <f>'PL FC Utrecht'!Y190</f>
        <v>0.73799999999999999</v>
      </c>
      <c r="N44" s="46"/>
      <c r="O44" s="134"/>
    </row>
    <row r="45" spans="1:15" s="47" customFormat="1" ht="14.5">
      <c r="A45" s="144" t="s">
        <v>252</v>
      </c>
      <c r="B45" s="144" t="s">
        <v>262</v>
      </c>
      <c r="C45" s="146"/>
      <c r="D45" s="145">
        <v>1</v>
      </c>
      <c r="E45" s="146" t="s">
        <v>94</v>
      </c>
      <c r="F45" s="146" t="s">
        <v>263</v>
      </c>
      <c r="G45" s="146" t="s">
        <v>95</v>
      </c>
      <c r="H45" s="146">
        <v>61034900</v>
      </c>
      <c r="I45" s="147">
        <f>'PL FC Utrecht'!R200</f>
        <v>1</v>
      </c>
      <c r="J45" s="147">
        <f>'PL FC Utrecht'!S200</f>
        <v>72</v>
      </c>
      <c r="K45" s="148">
        <f>'PL FC Utrecht'!V200</f>
        <v>6.38</v>
      </c>
      <c r="L45" s="148">
        <f>'PL FC Utrecht'!W200</f>
        <v>5.4</v>
      </c>
      <c r="M45" s="149">
        <f>'PL FC Utrecht'!Y200</f>
        <v>3.4000000000000002E-2</v>
      </c>
      <c r="N45" s="46"/>
      <c r="O45" s="134"/>
    </row>
    <row r="47" spans="1:15" ht="14.5">
      <c r="G47" s="1" t="s">
        <v>264</v>
      </c>
      <c r="I47" s="135">
        <f>SUM(I16:I46)</f>
        <v>116</v>
      </c>
      <c r="J47" s="135">
        <f>SUM(J16:J46)</f>
        <v>3711</v>
      </c>
      <c r="K47" s="136">
        <f>SUM(K16:K46)</f>
        <v>1194.6779999999999</v>
      </c>
      <c r="L47" s="136">
        <f>SUM(L16:L46)</f>
        <v>1033.3579999999999</v>
      </c>
      <c r="M47" s="137">
        <f>SUM(M16:M46)</f>
        <v>6.049999999999998</v>
      </c>
    </row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autoFilter ref="A15:M45"/>
  <mergeCells count="1">
    <mergeCell ref="B15:C15"/>
  </mergeCells>
  <printOptions horizontalCentered="1"/>
  <pageMargins left="0.25" right="0.25" top="0.75" bottom="0.5" header="0.5" footer="0.35"/>
  <pageSetup paperSize="9" scale="60" orientation="portrait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</vt:lpstr>
      <vt:lpstr>PL FC Utrecht</vt:lpstr>
      <vt:lpstr>CLP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morich</cp:lastModifiedBy>
  <cp:revision>2</cp:revision>
  <cp:lastPrinted>2025-06-02T03:38:39Z</cp:lastPrinted>
  <dcterms:created xsi:type="dcterms:W3CDTF">2025-05-27T18:56:41Z</dcterms:created>
  <dcterms:modified xsi:type="dcterms:W3CDTF">2025-06-02T03:43:45Z</dcterms:modified>
  <dc:language>en-ID</dc:language>
</cp:coreProperties>
</file>